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ibik\github\randy_utokyo\signal_coodination\"/>
    </mc:Choice>
  </mc:AlternateContent>
  <xr:revisionPtr revIDLastSave="0" documentId="13_ncr:1_{9680547F-D182-433E-BA9A-F5EF52257C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57" i="1" l="1"/>
  <c r="Q157" i="1"/>
  <c r="P157" i="1"/>
  <c r="O157" i="1"/>
  <c r="V157" i="1" s="1"/>
  <c r="T156" i="1"/>
  <c r="Q156" i="1"/>
  <c r="P156" i="1"/>
  <c r="O156" i="1"/>
  <c r="V156" i="1" s="1"/>
  <c r="U155" i="1"/>
  <c r="T155" i="1"/>
  <c r="Q155" i="1"/>
  <c r="P155" i="1"/>
  <c r="O155" i="1"/>
  <c r="V155" i="1" s="1"/>
  <c r="V154" i="1"/>
  <c r="U154" i="1"/>
  <c r="T154" i="1"/>
  <c r="Q154" i="1"/>
  <c r="P154" i="1"/>
  <c r="O154" i="1"/>
  <c r="V153" i="1"/>
  <c r="U153" i="1"/>
  <c r="T153" i="1"/>
  <c r="Q153" i="1"/>
  <c r="P153" i="1"/>
  <c r="O153" i="1"/>
  <c r="V152" i="1"/>
  <c r="U152" i="1"/>
  <c r="T152" i="1"/>
  <c r="Q152" i="1"/>
  <c r="P152" i="1"/>
  <c r="O152" i="1"/>
  <c r="V151" i="1"/>
  <c r="T151" i="1"/>
  <c r="S151" i="1"/>
  <c r="Q151" i="1"/>
  <c r="P151" i="1"/>
  <c r="O151" i="1"/>
  <c r="U151" i="1" s="1"/>
  <c r="U150" i="1"/>
  <c r="T150" i="1"/>
  <c r="Q150" i="1"/>
  <c r="P150" i="1"/>
  <c r="O150" i="1"/>
  <c r="U149" i="1"/>
  <c r="T149" i="1"/>
  <c r="S149" i="1"/>
  <c r="Q149" i="1"/>
  <c r="V149" i="1" s="1"/>
  <c r="P149" i="1"/>
  <c r="O149" i="1"/>
  <c r="T148" i="1"/>
  <c r="Q148" i="1"/>
  <c r="P148" i="1"/>
  <c r="O148" i="1"/>
  <c r="T147" i="1"/>
  <c r="Q147" i="1"/>
  <c r="P147" i="1"/>
  <c r="O147" i="1"/>
  <c r="V146" i="1"/>
  <c r="U146" i="1"/>
  <c r="T146" i="1"/>
  <c r="S146" i="1"/>
  <c r="Q146" i="1"/>
  <c r="P146" i="1"/>
  <c r="O146" i="1"/>
  <c r="V145" i="1"/>
  <c r="U145" i="1"/>
  <c r="T145" i="1"/>
  <c r="Q145" i="1"/>
  <c r="P145" i="1"/>
  <c r="O145" i="1"/>
  <c r="V144" i="1"/>
  <c r="U144" i="1"/>
  <c r="T144" i="1"/>
  <c r="Q144" i="1"/>
  <c r="P144" i="1"/>
  <c r="O144" i="1"/>
  <c r="V143" i="1"/>
  <c r="T143" i="1"/>
  <c r="Q143" i="1"/>
  <c r="P143" i="1"/>
  <c r="O143" i="1"/>
  <c r="U142" i="1"/>
  <c r="T142" i="1"/>
  <c r="Q142" i="1"/>
  <c r="P142" i="1"/>
  <c r="O142" i="1"/>
  <c r="V142" i="1" s="1"/>
  <c r="U141" i="1"/>
  <c r="T141" i="1"/>
  <c r="Q141" i="1"/>
  <c r="V141" i="1" s="1"/>
  <c r="P141" i="1"/>
  <c r="O141" i="1"/>
  <c r="T140" i="1"/>
  <c r="S140" i="1"/>
  <c r="R140" i="1"/>
  <c r="W140" i="1" s="1"/>
  <c r="Q140" i="1"/>
  <c r="V140" i="1" s="1"/>
  <c r="P140" i="1"/>
  <c r="O140" i="1"/>
  <c r="T139" i="1"/>
  <c r="S139" i="1"/>
  <c r="Q139" i="1"/>
  <c r="P139" i="1"/>
  <c r="O139" i="1"/>
  <c r="T138" i="1"/>
  <c r="U138" i="1" s="1"/>
  <c r="Q138" i="1"/>
  <c r="P138" i="1"/>
  <c r="V138" i="1" s="1"/>
  <c r="O138" i="1"/>
  <c r="W137" i="1"/>
  <c r="U137" i="1"/>
  <c r="T137" i="1"/>
  <c r="Q137" i="1"/>
  <c r="V137" i="1" s="1"/>
  <c r="P137" i="1"/>
  <c r="O137" i="1"/>
  <c r="W136" i="1"/>
  <c r="U136" i="1"/>
  <c r="T136" i="1"/>
  <c r="Q136" i="1"/>
  <c r="P136" i="1"/>
  <c r="O136" i="1"/>
  <c r="V136" i="1" s="1"/>
  <c r="V135" i="1"/>
  <c r="T135" i="1"/>
  <c r="S135" i="1"/>
  <c r="Q135" i="1"/>
  <c r="P135" i="1"/>
  <c r="O135" i="1"/>
  <c r="T134" i="1"/>
  <c r="R134" i="1"/>
  <c r="Q134" i="1"/>
  <c r="P134" i="1"/>
  <c r="O134" i="1"/>
  <c r="U133" i="1"/>
  <c r="T133" i="1"/>
  <c r="R133" i="1"/>
  <c r="W133" i="1" s="1"/>
  <c r="Q133" i="1"/>
  <c r="P133" i="1"/>
  <c r="O133" i="1"/>
  <c r="T132" i="1"/>
  <c r="Q132" i="1"/>
  <c r="P132" i="1"/>
  <c r="O132" i="1"/>
  <c r="U131" i="1"/>
  <c r="T131" i="1"/>
  <c r="S131" i="1"/>
  <c r="Q131" i="1"/>
  <c r="P131" i="1"/>
  <c r="O131" i="1"/>
  <c r="V131" i="1" s="1"/>
  <c r="U130" i="1"/>
  <c r="T130" i="1"/>
  <c r="Q130" i="1"/>
  <c r="P130" i="1"/>
  <c r="O130" i="1"/>
  <c r="U129" i="1"/>
  <c r="T129" i="1"/>
  <c r="R129" i="1"/>
  <c r="W129" i="1" s="1"/>
  <c r="Q129" i="1"/>
  <c r="P129" i="1"/>
  <c r="O129" i="1"/>
  <c r="V129" i="1" s="1"/>
  <c r="U128" i="1"/>
  <c r="T128" i="1"/>
  <c r="R128" i="1"/>
  <c r="Q128" i="1"/>
  <c r="P128" i="1"/>
  <c r="O128" i="1"/>
  <c r="T127" i="1"/>
  <c r="S127" i="1"/>
  <c r="Q127" i="1"/>
  <c r="P127" i="1"/>
  <c r="V127" i="1" s="1"/>
  <c r="O127" i="1"/>
  <c r="U127" i="1" s="1"/>
  <c r="T126" i="1"/>
  <c r="Q126" i="1"/>
  <c r="P126" i="1"/>
  <c r="O126" i="1"/>
  <c r="V125" i="1"/>
  <c r="U125" i="1"/>
  <c r="T125" i="1"/>
  <c r="Q125" i="1"/>
  <c r="P125" i="1"/>
  <c r="O125" i="1"/>
  <c r="W124" i="1"/>
  <c r="V124" i="1"/>
  <c r="T124" i="1"/>
  <c r="Q124" i="1"/>
  <c r="P124" i="1"/>
  <c r="O124" i="1"/>
  <c r="U124" i="1" s="1"/>
  <c r="U123" i="1"/>
  <c r="T123" i="1"/>
  <c r="S123" i="1"/>
  <c r="Q123" i="1"/>
  <c r="P123" i="1"/>
  <c r="O123" i="1"/>
  <c r="V122" i="1"/>
  <c r="U122" i="1"/>
  <c r="T122" i="1"/>
  <c r="S122" i="1"/>
  <c r="Q122" i="1"/>
  <c r="P122" i="1"/>
  <c r="O122" i="1"/>
  <c r="V121" i="1"/>
  <c r="U121" i="1"/>
  <c r="T121" i="1"/>
  <c r="R121" i="1"/>
  <c r="W121" i="1" s="1"/>
  <c r="Q121" i="1"/>
  <c r="P121" i="1"/>
  <c r="O121" i="1"/>
  <c r="V120" i="1"/>
  <c r="U120" i="1"/>
  <c r="T120" i="1"/>
  <c r="S120" i="1"/>
  <c r="Q120" i="1"/>
  <c r="P120" i="1"/>
  <c r="O120" i="1"/>
  <c r="T119" i="1"/>
  <c r="S119" i="1"/>
  <c r="Q119" i="1"/>
  <c r="P119" i="1"/>
  <c r="V119" i="1" s="1"/>
  <c r="O119" i="1"/>
  <c r="U119" i="1" s="1"/>
  <c r="T118" i="1"/>
  <c r="Q118" i="1"/>
  <c r="P118" i="1"/>
  <c r="O118" i="1"/>
  <c r="V117" i="1"/>
  <c r="U117" i="1"/>
  <c r="T117" i="1"/>
  <c r="Q117" i="1"/>
  <c r="P117" i="1"/>
  <c r="O117" i="1"/>
  <c r="W116" i="1"/>
  <c r="T116" i="1"/>
  <c r="Q116" i="1"/>
  <c r="P116" i="1"/>
  <c r="O116" i="1"/>
  <c r="U116" i="1" s="1"/>
  <c r="T115" i="1"/>
  <c r="U115" i="1" s="1"/>
  <c r="Q115" i="1"/>
  <c r="P115" i="1"/>
  <c r="O115" i="1"/>
  <c r="V115" i="1" s="1"/>
  <c r="V114" i="1"/>
  <c r="T114" i="1"/>
  <c r="U114" i="1" s="1"/>
  <c r="S114" i="1"/>
  <c r="Q114" i="1"/>
  <c r="P114" i="1"/>
  <c r="O114" i="1"/>
  <c r="V113" i="1"/>
  <c r="T113" i="1"/>
  <c r="U113" i="1" s="1"/>
  <c r="R113" i="1"/>
  <c r="W113" i="1" s="1"/>
  <c r="Q113" i="1"/>
  <c r="P113" i="1"/>
  <c r="O113" i="1"/>
  <c r="V112" i="1"/>
  <c r="U112" i="1"/>
  <c r="T112" i="1"/>
  <c r="S112" i="1"/>
  <c r="Q112" i="1"/>
  <c r="P112" i="1"/>
  <c r="O112" i="1"/>
  <c r="V111" i="1"/>
  <c r="T111" i="1"/>
  <c r="S111" i="1"/>
  <c r="Q111" i="1"/>
  <c r="P111" i="1"/>
  <c r="O111" i="1"/>
  <c r="T110" i="1"/>
  <c r="U110" i="1" s="1"/>
  <c r="R110" i="1"/>
  <c r="W110" i="1" s="1"/>
  <c r="Q110" i="1"/>
  <c r="P110" i="1"/>
  <c r="O110" i="1"/>
  <c r="U109" i="1"/>
  <c r="T109" i="1"/>
  <c r="S109" i="1"/>
  <c r="R109" i="1"/>
  <c r="W109" i="1" s="1"/>
  <c r="Q109" i="1"/>
  <c r="V109" i="1" s="1"/>
  <c r="P109" i="1"/>
  <c r="O109" i="1"/>
  <c r="T108" i="1"/>
  <c r="S108" i="1"/>
  <c r="R108" i="1"/>
  <c r="W108" i="1" s="1"/>
  <c r="Q108" i="1"/>
  <c r="V108" i="1" s="1"/>
  <c r="P108" i="1"/>
  <c r="O108" i="1"/>
  <c r="T107" i="1"/>
  <c r="U107" i="1" s="1"/>
  <c r="S107" i="1"/>
  <c r="Q107" i="1"/>
  <c r="P107" i="1"/>
  <c r="O107" i="1"/>
  <c r="V107" i="1" s="1"/>
  <c r="T106" i="1"/>
  <c r="U106" i="1" s="1"/>
  <c r="S106" i="1"/>
  <c r="Q106" i="1"/>
  <c r="P106" i="1"/>
  <c r="O106" i="1"/>
  <c r="T105" i="1"/>
  <c r="U105" i="1" s="1"/>
  <c r="R105" i="1"/>
  <c r="W105" i="1" s="1"/>
  <c r="Q105" i="1"/>
  <c r="V105" i="1" s="1"/>
  <c r="P105" i="1"/>
  <c r="O105" i="1"/>
  <c r="V104" i="1"/>
  <c r="U104" i="1"/>
  <c r="T104" i="1"/>
  <c r="S104" i="1"/>
  <c r="R104" i="1"/>
  <c r="W104" i="1" s="1"/>
  <c r="Q104" i="1"/>
  <c r="P104" i="1"/>
  <c r="O104" i="1"/>
  <c r="T103" i="1"/>
  <c r="S103" i="1"/>
  <c r="Q103" i="1"/>
  <c r="P103" i="1"/>
  <c r="V103" i="1" s="1"/>
  <c r="O103" i="1"/>
  <c r="T102" i="1"/>
  <c r="R102" i="1"/>
  <c r="W102" i="1" s="1"/>
  <c r="Q102" i="1"/>
  <c r="P102" i="1"/>
  <c r="O102" i="1"/>
  <c r="U101" i="1"/>
  <c r="T101" i="1"/>
  <c r="Q101" i="1"/>
  <c r="P101" i="1"/>
  <c r="V101" i="1" s="1"/>
  <c r="O101" i="1"/>
  <c r="T100" i="1"/>
  <c r="Q100" i="1"/>
  <c r="P100" i="1"/>
  <c r="V100" i="1" s="1"/>
  <c r="O100" i="1"/>
  <c r="T99" i="1"/>
  <c r="U99" i="1" s="1"/>
  <c r="Q99" i="1"/>
  <c r="P99" i="1"/>
  <c r="O99" i="1"/>
  <c r="T98" i="1"/>
  <c r="U98" i="1" s="1"/>
  <c r="R98" i="1"/>
  <c r="Q98" i="1"/>
  <c r="P98" i="1"/>
  <c r="V98" i="1" s="1"/>
  <c r="O98" i="1"/>
  <c r="T97" i="1"/>
  <c r="Q97" i="1"/>
  <c r="P97" i="1"/>
  <c r="O97" i="1"/>
  <c r="T96" i="1"/>
  <c r="U96" i="1" s="1"/>
  <c r="S96" i="1"/>
  <c r="Q96" i="1"/>
  <c r="P96" i="1"/>
  <c r="V96" i="1" s="1"/>
  <c r="O96" i="1"/>
  <c r="T95" i="1"/>
  <c r="U95" i="1" s="1"/>
  <c r="S95" i="1"/>
  <c r="Q95" i="1"/>
  <c r="P95" i="1"/>
  <c r="V95" i="1" s="1"/>
  <c r="O95" i="1"/>
  <c r="T94" i="1"/>
  <c r="U94" i="1" s="1"/>
  <c r="R94" i="1"/>
  <c r="W94" i="1" s="1"/>
  <c r="Q94" i="1"/>
  <c r="P94" i="1"/>
  <c r="V94" i="1" s="1"/>
  <c r="O94" i="1"/>
  <c r="U93" i="1"/>
  <c r="T93" i="1"/>
  <c r="Q93" i="1"/>
  <c r="P93" i="1"/>
  <c r="V93" i="1" s="1"/>
  <c r="O93" i="1"/>
  <c r="T92" i="1"/>
  <c r="S92" i="1"/>
  <c r="Q92" i="1"/>
  <c r="P92" i="1"/>
  <c r="O92" i="1"/>
  <c r="T91" i="1"/>
  <c r="S91" i="1"/>
  <c r="Q91" i="1"/>
  <c r="P91" i="1"/>
  <c r="O91" i="1"/>
  <c r="V90" i="1"/>
  <c r="T90" i="1"/>
  <c r="U90" i="1" s="1"/>
  <c r="Q90" i="1"/>
  <c r="P90" i="1"/>
  <c r="O90" i="1"/>
  <c r="V89" i="1"/>
  <c r="T89" i="1"/>
  <c r="Q89" i="1"/>
  <c r="P89" i="1"/>
  <c r="O89" i="1"/>
  <c r="U89" i="1" s="1"/>
  <c r="T88" i="1"/>
  <c r="Q88" i="1"/>
  <c r="P88" i="1"/>
  <c r="O88" i="1"/>
  <c r="U88" i="1" s="1"/>
  <c r="T87" i="1"/>
  <c r="Q87" i="1"/>
  <c r="P87" i="1"/>
  <c r="O87" i="1"/>
  <c r="W86" i="1"/>
  <c r="V86" i="1"/>
  <c r="T86" i="1"/>
  <c r="R86" i="1"/>
  <c r="Q86" i="1"/>
  <c r="P86" i="1"/>
  <c r="O86" i="1"/>
  <c r="U86" i="1" s="1"/>
  <c r="V85" i="1"/>
  <c r="T85" i="1"/>
  <c r="Q85" i="1"/>
  <c r="P85" i="1"/>
  <c r="O85" i="1"/>
  <c r="U85" i="1" s="1"/>
  <c r="T84" i="1"/>
  <c r="S84" i="1"/>
  <c r="Q84" i="1"/>
  <c r="P84" i="1"/>
  <c r="O84" i="1"/>
  <c r="T83" i="1"/>
  <c r="S83" i="1"/>
  <c r="Q83" i="1"/>
  <c r="P83" i="1"/>
  <c r="O83" i="1"/>
  <c r="T82" i="1"/>
  <c r="U82" i="1" s="1"/>
  <c r="S82" i="1"/>
  <c r="R82" i="1"/>
  <c r="Q82" i="1"/>
  <c r="V82" i="1" s="1"/>
  <c r="P82" i="1"/>
  <c r="O82" i="1"/>
  <c r="T81" i="1"/>
  <c r="U81" i="1" s="1"/>
  <c r="S81" i="1"/>
  <c r="R81" i="1"/>
  <c r="W81" i="1" s="1"/>
  <c r="Q81" i="1"/>
  <c r="P81" i="1"/>
  <c r="O81" i="1"/>
  <c r="V80" i="1"/>
  <c r="T80" i="1"/>
  <c r="U80" i="1" s="1"/>
  <c r="S80" i="1"/>
  <c r="R80" i="1"/>
  <c r="W80" i="1" s="1"/>
  <c r="Q80" i="1"/>
  <c r="P80" i="1"/>
  <c r="O80" i="1"/>
  <c r="T79" i="1"/>
  <c r="U79" i="1" s="1"/>
  <c r="S79" i="1"/>
  <c r="Q79" i="1"/>
  <c r="V79" i="1" s="1"/>
  <c r="P79" i="1"/>
  <c r="O79" i="1"/>
  <c r="U78" i="1"/>
  <c r="T78" i="1"/>
  <c r="R78" i="1"/>
  <c r="Q78" i="1"/>
  <c r="V78" i="1" s="1"/>
  <c r="P78" i="1"/>
  <c r="O78" i="1"/>
  <c r="V77" i="1"/>
  <c r="U77" i="1"/>
  <c r="T77" i="1"/>
  <c r="Q77" i="1"/>
  <c r="P77" i="1"/>
  <c r="O77" i="1"/>
  <c r="V76" i="1"/>
  <c r="T76" i="1"/>
  <c r="S76" i="1"/>
  <c r="Q76" i="1"/>
  <c r="P76" i="1"/>
  <c r="O76" i="1"/>
  <c r="T75" i="1"/>
  <c r="U75" i="1" s="1"/>
  <c r="S75" i="1"/>
  <c r="R75" i="1"/>
  <c r="W75" i="1" s="1"/>
  <c r="Q75" i="1"/>
  <c r="P75" i="1"/>
  <c r="O75" i="1"/>
  <c r="V75" i="1" s="1"/>
  <c r="V74" i="1"/>
  <c r="T74" i="1"/>
  <c r="U74" i="1" s="1"/>
  <c r="S74" i="1"/>
  <c r="R74" i="1"/>
  <c r="W74" i="1" s="1"/>
  <c r="Q74" i="1"/>
  <c r="P74" i="1"/>
  <c r="O74" i="1"/>
  <c r="V73" i="1"/>
  <c r="T73" i="1"/>
  <c r="U73" i="1" s="1"/>
  <c r="S73" i="1"/>
  <c r="W73" i="1" s="1"/>
  <c r="Q73" i="1"/>
  <c r="P73" i="1"/>
  <c r="O73" i="1"/>
  <c r="V72" i="1"/>
  <c r="T72" i="1"/>
  <c r="U72" i="1" s="1"/>
  <c r="Q72" i="1"/>
  <c r="P72" i="1"/>
  <c r="O72" i="1"/>
  <c r="V71" i="1"/>
  <c r="T71" i="1"/>
  <c r="U71" i="1" s="1"/>
  <c r="Q71" i="1"/>
  <c r="P71" i="1"/>
  <c r="O71" i="1"/>
  <c r="T70" i="1"/>
  <c r="U70" i="1" s="1"/>
  <c r="Q70" i="1"/>
  <c r="V70" i="1" s="1"/>
  <c r="P70" i="1"/>
  <c r="O70" i="1"/>
  <c r="U69" i="1"/>
  <c r="T69" i="1"/>
  <c r="R69" i="1"/>
  <c r="Q69" i="1"/>
  <c r="V69" i="1" s="1"/>
  <c r="P69" i="1"/>
  <c r="O69" i="1"/>
  <c r="V68" i="1"/>
  <c r="T68" i="1"/>
  <c r="Q68" i="1"/>
  <c r="P68" i="1"/>
  <c r="O68" i="1"/>
  <c r="T67" i="1"/>
  <c r="Q67" i="1"/>
  <c r="P67" i="1"/>
  <c r="O67" i="1"/>
  <c r="U66" i="1"/>
  <c r="T66" i="1"/>
  <c r="R66" i="1"/>
  <c r="W66" i="1" s="1"/>
  <c r="Q66" i="1"/>
  <c r="P66" i="1"/>
  <c r="V66" i="1" s="1"/>
  <c r="O66" i="1"/>
  <c r="T65" i="1"/>
  <c r="R65" i="1"/>
  <c r="Q65" i="1"/>
  <c r="P65" i="1"/>
  <c r="O65" i="1"/>
  <c r="T64" i="1"/>
  <c r="Q64" i="1"/>
  <c r="P64" i="1"/>
  <c r="O64" i="1"/>
  <c r="T63" i="1"/>
  <c r="S63" i="1"/>
  <c r="Q63" i="1"/>
  <c r="P63" i="1"/>
  <c r="O63" i="1"/>
  <c r="W62" i="1"/>
  <c r="T62" i="1"/>
  <c r="R62" i="1"/>
  <c r="Q62" i="1"/>
  <c r="P62" i="1"/>
  <c r="O62" i="1"/>
  <c r="T61" i="1"/>
  <c r="Q61" i="1"/>
  <c r="P61" i="1"/>
  <c r="O61" i="1"/>
  <c r="V61" i="1" s="1"/>
  <c r="V60" i="1"/>
  <c r="T60" i="1"/>
  <c r="Q60" i="1"/>
  <c r="P60" i="1"/>
  <c r="O60" i="1"/>
  <c r="T59" i="1"/>
  <c r="U59" i="1" s="1"/>
  <c r="S59" i="1"/>
  <c r="Q59" i="1"/>
  <c r="P59" i="1"/>
  <c r="O59" i="1"/>
  <c r="V59" i="1" s="1"/>
  <c r="T58" i="1"/>
  <c r="U58" i="1" s="1"/>
  <c r="S58" i="1"/>
  <c r="R58" i="1"/>
  <c r="W58" i="1" s="1"/>
  <c r="Q58" i="1"/>
  <c r="P58" i="1"/>
  <c r="V58" i="1" s="1"/>
  <c r="O58" i="1"/>
  <c r="V57" i="1"/>
  <c r="T57" i="1"/>
  <c r="U57" i="1" s="1"/>
  <c r="R57" i="1"/>
  <c r="Q57" i="1"/>
  <c r="P57" i="1"/>
  <c r="O57" i="1"/>
  <c r="T56" i="1"/>
  <c r="S56" i="1"/>
  <c r="Q56" i="1"/>
  <c r="P56" i="1"/>
  <c r="O56" i="1"/>
  <c r="V56" i="1" s="1"/>
  <c r="T55" i="1"/>
  <c r="Q55" i="1"/>
  <c r="P55" i="1"/>
  <c r="O55" i="1"/>
  <c r="V55" i="1" s="1"/>
  <c r="W54" i="1"/>
  <c r="T54" i="1"/>
  <c r="R54" i="1"/>
  <c r="Q54" i="1"/>
  <c r="P54" i="1"/>
  <c r="O54" i="1"/>
  <c r="V54" i="1" s="1"/>
  <c r="W53" i="1"/>
  <c r="T53" i="1"/>
  <c r="Q53" i="1"/>
  <c r="P53" i="1"/>
  <c r="O53" i="1"/>
  <c r="V53" i="1" s="1"/>
  <c r="W52" i="1"/>
  <c r="V52" i="1"/>
  <c r="T52" i="1"/>
  <c r="Q52" i="1"/>
  <c r="P52" i="1"/>
  <c r="O52" i="1"/>
  <c r="U52" i="1" s="1"/>
  <c r="T51" i="1"/>
  <c r="U51" i="1" s="1"/>
  <c r="Q51" i="1"/>
  <c r="P51" i="1"/>
  <c r="O51" i="1"/>
  <c r="T50" i="1"/>
  <c r="U50" i="1" s="1"/>
  <c r="R50" i="1"/>
  <c r="Q50" i="1"/>
  <c r="P50" i="1"/>
  <c r="V50" i="1" s="1"/>
  <c r="O50" i="1"/>
  <c r="T49" i="1"/>
  <c r="Q49" i="1"/>
  <c r="P49" i="1"/>
  <c r="O49" i="1"/>
  <c r="V49" i="1" s="1"/>
  <c r="T48" i="1"/>
  <c r="Q48" i="1"/>
  <c r="P48" i="1"/>
  <c r="O48" i="1"/>
  <c r="V48" i="1" s="1"/>
  <c r="W47" i="1"/>
  <c r="T47" i="1"/>
  <c r="S47" i="1"/>
  <c r="Q47" i="1"/>
  <c r="P47" i="1"/>
  <c r="O47" i="1"/>
  <c r="V47" i="1" s="1"/>
  <c r="W46" i="1"/>
  <c r="T46" i="1"/>
  <c r="R46" i="1"/>
  <c r="Q46" i="1"/>
  <c r="P46" i="1"/>
  <c r="O46" i="1"/>
  <c r="V46" i="1" s="1"/>
  <c r="W45" i="1"/>
  <c r="T45" i="1"/>
  <c r="Q45" i="1"/>
  <c r="P45" i="1"/>
  <c r="O45" i="1"/>
  <c r="V45" i="1" s="1"/>
  <c r="W44" i="1"/>
  <c r="V44" i="1"/>
  <c r="T44" i="1"/>
  <c r="Q44" i="1"/>
  <c r="P44" i="1"/>
  <c r="O44" i="1"/>
  <c r="U44" i="1" s="1"/>
  <c r="U43" i="1"/>
  <c r="T43" i="1"/>
  <c r="S43" i="1"/>
  <c r="Q43" i="1"/>
  <c r="P43" i="1"/>
  <c r="O43" i="1"/>
  <c r="V43" i="1" s="1"/>
  <c r="V42" i="1"/>
  <c r="U42" i="1"/>
  <c r="T42" i="1"/>
  <c r="S42" i="1"/>
  <c r="R42" i="1"/>
  <c r="Q42" i="1"/>
  <c r="P42" i="1"/>
  <c r="O42" i="1"/>
  <c r="T41" i="1"/>
  <c r="Q41" i="1"/>
  <c r="V41" i="1" s="1"/>
  <c r="P41" i="1"/>
  <c r="O41" i="1"/>
  <c r="U41" i="1" s="1"/>
  <c r="T40" i="1"/>
  <c r="Q40" i="1"/>
  <c r="P40" i="1"/>
  <c r="O40" i="1"/>
  <c r="V40" i="1" s="1"/>
  <c r="V39" i="1"/>
  <c r="T39" i="1"/>
  <c r="S39" i="1"/>
  <c r="Q39" i="1"/>
  <c r="P39" i="1"/>
  <c r="O39" i="1"/>
  <c r="U39" i="1" s="1"/>
  <c r="V38" i="1"/>
  <c r="U38" i="1"/>
  <c r="T38" i="1"/>
  <c r="R38" i="1"/>
  <c r="Q38" i="1"/>
  <c r="P38" i="1"/>
  <c r="O38" i="1"/>
  <c r="V37" i="1"/>
  <c r="U37" i="1"/>
  <c r="T37" i="1"/>
  <c r="Q37" i="1"/>
  <c r="P37" i="1"/>
  <c r="O37" i="1"/>
  <c r="V36" i="1"/>
  <c r="T36" i="1"/>
  <c r="S36" i="1"/>
  <c r="W36" i="1" s="1"/>
  <c r="Q36" i="1"/>
  <c r="P36" i="1"/>
  <c r="O36" i="1"/>
  <c r="T35" i="1"/>
  <c r="U35" i="1" s="1"/>
  <c r="S35" i="1"/>
  <c r="Q35" i="1"/>
  <c r="P35" i="1"/>
  <c r="O35" i="1"/>
  <c r="V34" i="1"/>
  <c r="T34" i="1"/>
  <c r="U34" i="1" s="1"/>
  <c r="S34" i="1"/>
  <c r="R34" i="1"/>
  <c r="Q34" i="1"/>
  <c r="P34" i="1"/>
  <c r="O34" i="1"/>
  <c r="V33" i="1"/>
  <c r="T33" i="1"/>
  <c r="U33" i="1" s="1"/>
  <c r="Q33" i="1"/>
  <c r="P33" i="1"/>
  <c r="O33" i="1"/>
  <c r="T32" i="1"/>
  <c r="Q32" i="1"/>
  <c r="P32" i="1"/>
  <c r="O32" i="1"/>
  <c r="U32" i="1" s="1"/>
  <c r="T31" i="1"/>
  <c r="Q31" i="1"/>
  <c r="P31" i="1"/>
  <c r="O31" i="1"/>
  <c r="U31" i="1" s="1"/>
  <c r="W30" i="1"/>
  <c r="V30" i="1"/>
  <c r="T30" i="1"/>
  <c r="R30" i="1"/>
  <c r="Q30" i="1"/>
  <c r="P30" i="1"/>
  <c r="O30" i="1"/>
  <c r="U30" i="1" s="1"/>
  <c r="W29" i="1"/>
  <c r="V29" i="1"/>
  <c r="T29" i="1"/>
  <c r="Q29" i="1"/>
  <c r="P29" i="1"/>
  <c r="O29" i="1"/>
  <c r="U29" i="1" s="1"/>
  <c r="W28" i="1"/>
  <c r="T28" i="1"/>
  <c r="Q28" i="1"/>
  <c r="P28" i="1"/>
  <c r="V28" i="1" s="1"/>
  <c r="O28" i="1"/>
  <c r="U28" i="1" s="1"/>
  <c r="T27" i="1"/>
  <c r="Q27" i="1"/>
  <c r="P27" i="1"/>
  <c r="O27" i="1"/>
  <c r="V27" i="1" s="1"/>
  <c r="V26" i="1"/>
  <c r="U26" i="1"/>
  <c r="T26" i="1"/>
  <c r="S26" i="1"/>
  <c r="Q26" i="1"/>
  <c r="P26" i="1"/>
  <c r="O26" i="1"/>
  <c r="V25" i="1"/>
  <c r="U25" i="1"/>
  <c r="T25" i="1"/>
  <c r="Q25" i="1"/>
  <c r="P25" i="1"/>
  <c r="O25" i="1"/>
  <c r="W24" i="1"/>
  <c r="V24" i="1"/>
  <c r="T24" i="1"/>
  <c r="S24" i="1"/>
  <c r="Q24" i="1"/>
  <c r="P24" i="1"/>
  <c r="O24" i="1"/>
  <c r="U24" i="1" s="1"/>
  <c r="V23" i="1"/>
  <c r="T23" i="1"/>
  <c r="S23" i="1"/>
  <c r="Q23" i="1"/>
  <c r="P23" i="1"/>
  <c r="O23" i="1"/>
  <c r="V22" i="1"/>
  <c r="T22" i="1"/>
  <c r="W22" i="1" s="1"/>
  <c r="R22" i="1"/>
  <c r="Q22" i="1"/>
  <c r="P22" i="1"/>
  <c r="O22" i="1"/>
  <c r="V21" i="1"/>
  <c r="T21" i="1"/>
  <c r="S21" i="1"/>
  <c r="R21" i="1"/>
  <c r="W21" i="1" s="1"/>
  <c r="Q21" i="1"/>
  <c r="P21" i="1"/>
  <c r="O21" i="1"/>
  <c r="T20" i="1"/>
  <c r="U20" i="1" s="1"/>
  <c r="S20" i="1"/>
  <c r="R20" i="1"/>
  <c r="W20" i="1" s="1"/>
  <c r="Q20" i="1"/>
  <c r="P20" i="1"/>
  <c r="O20" i="1"/>
  <c r="T19" i="1"/>
  <c r="U19" i="1" s="1"/>
  <c r="S19" i="1"/>
  <c r="Q19" i="1"/>
  <c r="V19" i="1" s="1"/>
  <c r="P19" i="1"/>
  <c r="O19" i="1"/>
  <c r="V18" i="1"/>
  <c r="T18" i="1"/>
  <c r="U18" i="1" s="1"/>
  <c r="S18" i="1"/>
  <c r="R18" i="1"/>
  <c r="W18" i="1" s="1"/>
  <c r="Q18" i="1"/>
  <c r="P18" i="1"/>
  <c r="O18" i="1"/>
  <c r="V17" i="1"/>
  <c r="T17" i="1"/>
  <c r="U17" i="1" s="1"/>
  <c r="S17" i="1"/>
  <c r="Q17" i="1"/>
  <c r="P17" i="1"/>
  <c r="O17" i="1"/>
  <c r="T16" i="1"/>
  <c r="Q16" i="1"/>
  <c r="P16" i="1"/>
  <c r="O16" i="1"/>
  <c r="U16" i="1" s="1"/>
  <c r="T15" i="1"/>
  <c r="Q15" i="1"/>
  <c r="P15" i="1"/>
  <c r="O15" i="1"/>
  <c r="V15" i="1" s="1"/>
  <c r="W14" i="1"/>
  <c r="T14" i="1"/>
  <c r="R14" i="1"/>
  <c r="Q14" i="1"/>
  <c r="P14" i="1"/>
  <c r="O14" i="1"/>
  <c r="V14" i="1" s="1"/>
  <c r="T13" i="1"/>
  <c r="Q13" i="1"/>
  <c r="P13" i="1"/>
  <c r="O13" i="1"/>
  <c r="U13" i="1" s="1"/>
  <c r="U12" i="1"/>
  <c r="T12" i="1"/>
  <c r="Q12" i="1"/>
  <c r="P12" i="1"/>
  <c r="O12" i="1"/>
  <c r="V12" i="1" s="1"/>
  <c r="V11" i="1"/>
  <c r="T11" i="1"/>
  <c r="U11" i="1" s="1"/>
  <c r="Q11" i="1"/>
  <c r="P11" i="1"/>
  <c r="O11" i="1"/>
  <c r="W10" i="1"/>
  <c r="V10" i="1"/>
  <c r="U10" i="1"/>
  <c r="T10" i="1"/>
  <c r="S10" i="1"/>
  <c r="R10" i="1"/>
  <c r="Q10" i="1"/>
  <c r="P10" i="1"/>
  <c r="O10" i="1"/>
  <c r="V9" i="1"/>
  <c r="T9" i="1"/>
  <c r="Q9" i="1"/>
  <c r="P9" i="1"/>
  <c r="O9" i="1"/>
  <c r="U8" i="1"/>
  <c r="T8" i="1"/>
  <c r="S8" i="1"/>
  <c r="W8" i="1" s="1"/>
  <c r="Q8" i="1"/>
  <c r="P8" i="1"/>
  <c r="O8" i="1"/>
  <c r="V8" i="1" s="1"/>
  <c r="U7" i="1"/>
  <c r="T7" i="1"/>
  <c r="Q7" i="1"/>
  <c r="P7" i="1"/>
  <c r="O7" i="1"/>
  <c r="U6" i="1"/>
  <c r="T6" i="1"/>
  <c r="S6" i="1"/>
  <c r="R6" i="1"/>
  <c r="W6" i="1" s="1"/>
  <c r="Q6" i="1"/>
  <c r="P6" i="1"/>
  <c r="O6" i="1"/>
  <c r="T5" i="1"/>
  <c r="S5" i="1"/>
  <c r="R5" i="1"/>
  <c r="W5" i="1" s="1"/>
  <c r="Q5" i="1"/>
  <c r="P5" i="1"/>
  <c r="V5" i="1" s="1"/>
  <c r="O5" i="1"/>
  <c r="U5" i="1" s="1"/>
  <c r="T4" i="1"/>
  <c r="S4" i="1"/>
  <c r="R4" i="1"/>
  <c r="W4" i="1" s="1"/>
  <c r="Q4" i="1"/>
  <c r="P4" i="1"/>
  <c r="O4" i="1"/>
  <c r="V4" i="1" s="1"/>
  <c r="U3" i="1"/>
  <c r="T3" i="1"/>
  <c r="S3" i="1"/>
  <c r="Q3" i="1"/>
  <c r="P3" i="1"/>
  <c r="V3" i="1" s="1"/>
  <c r="O3" i="1"/>
  <c r="V2" i="1"/>
  <c r="T2" i="1"/>
  <c r="U2" i="1" s="1"/>
  <c r="R2" i="1"/>
  <c r="Q2" i="1"/>
  <c r="P2" i="1"/>
  <c r="O2" i="1"/>
  <c r="G2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F2" i="1"/>
  <c r="L3" i="1"/>
  <c r="R3" i="1" s="1"/>
  <c r="W3" i="1" s="1"/>
  <c r="M3" i="1"/>
  <c r="L4" i="1"/>
  <c r="M4" i="1"/>
  <c r="L5" i="1"/>
  <c r="M5" i="1"/>
  <c r="L6" i="1"/>
  <c r="M6" i="1"/>
  <c r="L7" i="1"/>
  <c r="R7" i="1" s="1"/>
  <c r="W7" i="1" s="1"/>
  <c r="M7" i="1"/>
  <c r="S7" i="1" s="1"/>
  <c r="L8" i="1"/>
  <c r="R8" i="1" s="1"/>
  <c r="M8" i="1"/>
  <c r="L9" i="1"/>
  <c r="R9" i="1" s="1"/>
  <c r="W9" i="1" s="1"/>
  <c r="M9" i="1"/>
  <c r="S9" i="1" s="1"/>
  <c r="L10" i="1"/>
  <c r="M10" i="1"/>
  <c r="L11" i="1"/>
  <c r="R11" i="1" s="1"/>
  <c r="W11" i="1" s="1"/>
  <c r="M11" i="1"/>
  <c r="S11" i="1" s="1"/>
  <c r="L12" i="1"/>
  <c r="R12" i="1" s="1"/>
  <c r="W12" i="1" s="1"/>
  <c r="M12" i="1"/>
  <c r="S12" i="1" s="1"/>
  <c r="L13" i="1"/>
  <c r="R13" i="1" s="1"/>
  <c r="W13" i="1" s="1"/>
  <c r="M13" i="1"/>
  <c r="S13" i="1" s="1"/>
  <c r="L14" i="1"/>
  <c r="M14" i="1"/>
  <c r="S14" i="1" s="1"/>
  <c r="L15" i="1"/>
  <c r="R15" i="1" s="1"/>
  <c r="W15" i="1" s="1"/>
  <c r="M15" i="1"/>
  <c r="S15" i="1" s="1"/>
  <c r="L16" i="1"/>
  <c r="R16" i="1" s="1"/>
  <c r="W16" i="1" s="1"/>
  <c r="M16" i="1"/>
  <c r="S16" i="1" s="1"/>
  <c r="L17" i="1"/>
  <c r="R17" i="1" s="1"/>
  <c r="W17" i="1" s="1"/>
  <c r="M17" i="1"/>
  <c r="L18" i="1"/>
  <c r="M18" i="1"/>
  <c r="L19" i="1"/>
  <c r="R19" i="1" s="1"/>
  <c r="W19" i="1" s="1"/>
  <c r="M19" i="1"/>
  <c r="L20" i="1"/>
  <c r="M20" i="1"/>
  <c r="L21" i="1"/>
  <c r="M21" i="1"/>
  <c r="L22" i="1"/>
  <c r="M22" i="1"/>
  <c r="S22" i="1" s="1"/>
  <c r="L23" i="1"/>
  <c r="R23" i="1" s="1"/>
  <c r="W23" i="1" s="1"/>
  <c r="M23" i="1"/>
  <c r="L24" i="1"/>
  <c r="R24" i="1" s="1"/>
  <c r="M24" i="1"/>
  <c r="L25" i="1"/>
  <c r="R25" i="1" s="1"/>
  <c r="W25" i="1" s="1"/>
  <c r="M25" i="1"/>
  <c r="S25" i="1" s="1"/>
  <c r="L26" i="1"/>
  <c r="R26" i="1" s="1"/>
  <c r="W26" i="1" s="1"/>
  <c r="M26" i="1"/>
  <c r="L27" i="1"/>
  <c r="R27" i="1" s="1"/>
  <c r="W27" i="1" s="1"/>
  <c r="M27" i="1"/>
  <c r="S27" i="1" s="1"/>
  <c r="L28" i="1"/>
  <c r="R28" i="1" s="1"/>
  <c r="M28" i="1"/>
  <c r="S28" i="1" s="1"/>
  <c r="L29" i="1"/>
  <c r="R29" i="1" s="1"/>
  <c r="M29" i="1"/>
  <c r="S29" i="1" s="1"/>
  <c r="L30" i="1"/>
  <c r="M30" i="1"/>
  <c r="S30" i="1" s="1"/>
  <c r="L31" i="1"/>
  <c r="R31" i="1" s="1"/>
  <c r="W31" i="1" s="1"/>
  <c r="M31" i="1"/>
  <c r="S31" i="1" s="1"/>
  <c r="L32" i="1"/>
  <c r="R32" i="1" s="1"/>
  <c r="W32" i="1" s="1"/>
  <c r="M32" i="1"/>
  <c r="S32" i="1" s="1"/>
  <c r="L33" i="1"/>
  <c r="R33" i="1" s="1"/>
  <c r="W33" i="1" s="1"/>
  <c r="M33" i="1"/>
  <c r="S33" i="1" s="1"/>
  <c r="L34" i="1"/>
  <c r="M34" i="1"/>
  <c r="L35" i="1"/>
  <c r="R35" i="1" s="1"/>
  <c r="W35" i="1" s="1"/>
  <c r="M35" i="1"/>
  <c r="L36" i="1"/>
  <c r="R36" i="1" s="1"/>
  <c r="M36" i="1"/>
  <c r="L37" i="1"/>
  <c r="R37" i="1" s="1"/>
  <c r="M37" i="1"/>
  <c r="S37" i="1" s="1"/>
  <c r="L38" i="1"/>
  <c r="M38" i="1"/>
  <c r="S38" i="1" s="1"/>
  <c r="L39" i="1"/>
  <c r="R39" i="1" s="1"/>
  <c r="W39" i="1" s="1"/>
  <c r="M39" i="1"/>
  <c r="L40" i="1"/>
  <c r="R40" i="1" s="1"/>
  <c r="W40" i="1" s="1"/>
  <c r="M40" i="1"/>
  <c r="S40" i="1" s="1"/>
  <c r="L41" i="1"/>
  <c r="R41" i="1" s="1"/>
  <c r="M41" i="1"/>
  <c r="S41" i="1" s="1"/>
  <c r="W41" i="1" s="1"/>
  <c r="L42" i="1"/>
  <c r="M42" i="1"/>
  <c r="L43" i="1"/>
  <c r="R43" i="1" s="1"/>
  <c r="W43" i="1" s="1"/>
  <c r="M43" i="1"/>
  <c r="L44" i="1"/>
  <c r="R44" i="1" s="1"/>
  <c r="M44" i="1"/>
  <c r="S44" i="1" s="1"/>
  <c r="L45" i="1"/>
  <c r="R45" i="1" s="1"/>
  <c r="M45" i="1"/>
  <c r="S45" i="1" s="1"/>
  <c r="L46" i="1"/>
  <c r="M46" i="1"/>
  <c r="S46" i="1" s="1"/>
  <c r="L47" i="1"/>
  <c r="R47" i="1" s="1"/>
  <c r="M47" i="1"/>
  <c r="L48" i="1"/>
  <c r="R48" i="1" s="1"/>
  <c r="W48" i="1" s="1"/>
  <c r="M48" i="1"/>
  <c r="S48" i="1" s="1"/>
  <c r="L49" i="1"/>
  <c r="R49" i="1" s="1"/>
  <c r="W49" i="1" s="1"/>
  <c r="M49" i="1"/>
  <c r="S49" i="1" s="1"/>
  <c r="L50" i="1"/>
  <c r="M50" i="1"/>
  <c r="S50" i="1" s="1"/>
  <c r="L51" i="1"/>
  <c r="R51" i="1" s="1"/>
  <c r="W51" i="1" s="1"/>
  <c r="M51" i="1"/>
  <c r="S51" i="1" s="1"/>
  <c r="L52" i="1"/>
  <c r="R52" i="1" s="1"/>
  <c r="M52" i="1"/>
  <c r="S52" i="1" s="1"/>
  <c r="L53" i="1"/>
  <c r="R53" i="1" s="1"/>
  <c r="M53" i="1"/>
  <c r="S53" i="1" s="1"/>
  <c r="L54" i="1"/>
  <c r="M54" i="1"/>
  <c r="S54" i="1" s="1"/>
  <c r="L55" i="1"/>
  <c r="R55" i="1" s="1"/>
  <c r="W55" i="1" s="1"/>
  <c r="M55" i="1"/>
  <c r="S55" i="1" s="1"/>
  <c r="L56" i="1"/>
  <c r="R56" i="1" s="1"/>
  <c r="W56" i="1" s="1"/>
  <c r="M56" i="1"/>
  <c r="L57" i="1"/>
  <c r="M57" i="1"/>
  <c r="S57" i="1" s="1"/>
  <c r="L58" i="1"/>
  <c r="M58" i="1"/>
  <c r="L59" i="1"/>
  <c r="R59" i="1" s="1"/>
  <c r="W59" i="1" s="1"/>
  <c r="M59" i="1"/>
  <c r="L60" i="1"/>
  <c r="R60" i="1" s="1"/>
  <c r="M60" i="1"/>
  <c r="S60" i="1" s="1"/>
  <c r="L61" i="1"/>
  <c r="R61" i="1" s="1"/>
  <c r="W61" i="1" s="1"/>
  <c r="M61" i="1"/>
  <c r="S61" i="1" s="1"/>
  <c r="L62" i="1"/>
  <c r="M62" i="1"/>
  <c r="S62" i="1" s="1"/>
  <c r="L63" i="1"/>
  <c r="R63" i="1" s="1"/>
  <c r="W63" i="1" s="1"/>
  <c r="M63" i="1"/>
  <c r="L64" i="1"/>
  <c r="R64" i="1" s="1"/>
  <c r="M64" i="1"/>
  <c r="S64" i="1" s="1"/>
  <c r="L65" i="1"/>
  <c r="M65" i="1"/>
  <c r="S65" i="1" s="1"/>
  <c r="L66" i="1"/>
  <c r="M66" i="1"/>
  <c r="S66" i="1" s="1"/>
  <c r="L67" i="1"/>
  <c r="R67" i="1" s="1"/>
  <c r="W67" i="1" s="1"/>
  <c r="M67" i="1"/>
  <c r="S67" i="1" s="1"/>
  <c r="L68" i="1"/>
  <c r="R68" i="1" s="1"/>
  <c r="W68" i="1" s="1"/>
  <c r="M68" i="1"/>
  <c r="S68" i="1" s="1"/>
  <c r="L69" i="1"/>
  <c r="M69" i="1"/>
  <c r="S69" i="1" s="1"/>
  <c r="L70" i="1"/>
  <c r="R70" i="1" s="1"/>
  <c r="W70" i="1" s="1"/>
  <c r="M70" i="1"/>
  <c r="S70" i="1" s="1"/>
  <c r="L71" i="1"/>
  <c r="R71" i="1" s="1"/>
  <c r="W71" i="1" s="1"/>
  <c r="M71" i="1"/>
  <c r="S71" i="1" s="1"/>
  <c r="L72" i="1"/>
  <c r="R72" i="1" s="1"/>
  <c r="M72" i="1"/>
  <c r="S72" i="1" s="1"/>
  <c r="L73" i="1"/>
  <c r="R73" i="1" s="1"/>
  <c r="M73" i="1"/>
  <c r="L74" i="1"/>
  <c r="M74" i="1"/>
  <c r="L75" i="1"/>
  <c r="M75" i="1"/>
  <c r="L76" i="1"/>
  <c r="R76" i="1" s="1"/>
  <c r="W76" i="1" s="1"/>
  <c r="M76" i="1"/>
  <c r="L77" i="1"/>
  <c r="R77" i="1" s="1"/>
  <c r="M77" i="1"/>
  <c r="S77" i="1" s="1"/>
  <c r="L78" i="1"/>
  <c r="M78" i="1"/>
  <c r="S78" i="1" s="1"/>
  <c r="L79" i="1"/>
  <c r="R79" i="1" s="1"/>
  <c r="W79" i="1" s="1"/>
  <c r="M79" i="1"/>
  <c r="L80" i="1"/>
  <c r="M80" i="1"/>
  <c r="L81" i="1"/>
  <c r="M81" i="1"/>
  <c r="L82" i="1"/>
  <c r="M82" i="1"/>
  <c r="L83" i="1"/>
  <c r="R83" i="1" s="1"/>
  <c r="W83" i="1" s="1"/>
  <c r="M83" i="1"/>
  <c r="L84" i="1"/>
  <c r="R84" i="1" s="1"/>
  <c r="W84" i="1" s="1"/>
  <c r="M84" i="1"/>
  <c r="L85" i="1"/>
  <c r="R85" i="1" s="1"/>
  <c r="M85" i="1"/>
  <c r="S85" i="1" s="1"/>
  <c r="W85" i="1" s="1"/>
  <c r="L86" i="1"/>
  <c r="M86" i="1"/>
  <c r="S86" i="1" s="1"/>
  <c r="L87" i="1"/>
  <c r="R87" i="1" s="1"/>
  <c r="M87" i="1"/>
  <c r="S87" i="1" s="1"/>
  <c r="W87" i="1" s="1"/>
  <c r="L88" i="1"/>
  <c r="R88" i="1" s="1"/>
  <c r="W88" i="1" s="1"/>
  <c r="M88" i="1"/>
  <c r="S88" i="1" s="1"/>
  <c r="L89" i="1"/>
  <c r="R89" i="1" s="1"/>
  <c r="M89" i="1"/>
  <c r="S89" i="1" s="1"/>
  <c r="W89" i="1" s="1"/>
  <c r="L90" i="1"/>
  <c r="R90" i="1" s="1"/>
  <c r="M90" i="1"/>
  <c r="S90" i="1" s="1"/>
  <c r="L91" i="1"/>
  <c r="R91" i="1" s="1"/>
  <c r="W91" i="1" s="1"/>
  <c r="M91" i="1"/>
  <c r="L92" i="1"/>
  <c r="R92" i="1" s="1"/>
  <c r="M92" i="1"/>
  <c r="L93" i="1"/>
  <c r="R93" i="1" s="1"/>
  <c r="M93" i="1"/>
  <c r="S93" i="1" s="1"/>
  <c r="L94" i="1"/>
  <c r="M94" i="1"/>
  <c r="S94" i="1" s="1"/>
  <c r="L95" i="1"/>
  <c r="R95" i="1" s="1"/>
  <c r="W95" i="1" s="1"/>
  <c r="M95" i="1"/>
  <c r="L96" i="1"/>
  <c r="R96" i="1" s="1"/>
  <c r="W96" i="1" s="1"/>
  <c r="M96" i="1"/>
  <c r="L97" i="1"/>
  <c r="R97" i="1" s="1"/>
  <c r="W97" i="1" s="1"/>
  <c r="M97" i="1"/>
  <c r="S97" i="1" s="1"/>
  <c r="L98" i="1"/>
  <c r="M98" i="1"/>
  <c r="S98" i="1" s="1"/>
  <c r="L99" i="1"/>
  <c r="R99" i="1" s="1"/>
  <c r="W99" i="1" s="1"/>
  <c r="M99" i="1"/>
  <c r="S99" i="1" s="1"/>
  <c r="L100" i="1"/>
  <c r="R100" i="1" s="1"/>
  <c r="W100" i="1" s="1"/>
  <c r="M100" i="1"/>
  <c r="S100" i="1" s="1"/>
  <c r="L101" i="1"/>
  <c r="R101" i="1" s="1"/>
  <c r="M101" i="1"/>
  <c r="S101" i="1" s="1"/>
  <c r="L102" i="1"/>
  <c r="M102" i="1"/>
  <c r="S102" i="1" s="1"/>
  <c r="L103" i="1"/>
  <c r="R103" i="1" s="1"/>
  <c r="W103" i="1" s="1"/>
  <c r="M103" i="1"/>
  <c r="L104" i="1"/>
  <c r="M104" i="1"/>
  <c r="L105" i="1"/>
  <c r="M105" i="1"/>
  <c r="S105" i="1" s="1"/>
  <c r="L106" i="1"/>
  <c r="R106" i="1" s="1"/>
  <c r="M106" i="1"/>
  <c r="L107" i="1"/>
  <c r="R107" i="1" s="1"/>
  <c r="W107" i="1" s="1"/>
  <c r="M107" i="1"/>
  <c r="L108" i="1"/>
  <c r="M108" i="1"/>
  <c r="L109" i="1"/>
  <c r="M109" i="1"/>
  <c r="L110" i="1"/>
  <c r="M110" i="1"/>
  <c r="S110" i="1" s="1"/>
  <c r="L111" i="1"/>
  <c r="R111" i="1" s="1"/>
  <c r="W111" i="1" s="1"/>
  <c r="M111" i="1"/>
  <c r="L112" i="1"/>
  <c r="R112" i="1" s="1"/>
  <c r="M112" i="1"/>
  <c r="L113" i="1"/>
  <c r="M113" i="1"/>
  <c r="S113" i="1" s="1"/>
  <c r="L114" i="1"/>
  <c r="R114" i="1" s="1"/>
  <c r="M114" i="1"/>
  <c r="L115" i="1"/>
  <c r="R115" i="1" s="1"/>
  <c r="W115" i="1" s="1"/>
  <c r="M115" i="1"/>
  <c r="S115" i="1" s="1"/>
  <c r="L116" i="1"/>
  <c r="R116" i="1" s="1"/>
  <c r="M116" i="1"/>
  <c r="S116" i="1" s="1"/>
  <c r="L117" i="1"/>
  <c r="R117" i="1" s="1"/>
  <c r="M117" i="1"/>
  <c r="S117" i="1" s="1"/>
  <c r="L118" i="1"/>
  <c r="R118" i="1" s="1"/>
  <c r="W118" i="1" s="1"/>
  <c r="M118" i="1"/>
  <c r="S118" i="1" s="1"/>
  <c r="L119" i="1"/>
  <c r="R119" i="1" s="1"/>
  <c r="W119" i="1" s="1"/>
  <c r="M119" i="1"/>
  <c r="L120" i="1"/>
  <c r="R120" i="1" s="1"/>
  <c r="M120" i="1"/>
  <c r="L121" i="1"/>
  <c r="M121" i="1"/>
  <c r="S121" i="1" s="1"/>
  <c r="L122" i="1"/>
  <c r="R122" i="1" s="1"/>
  <c r="M122" i="1"/>
  <c r="L123" i="1"/>
  <c r="R123" i="1" s="1"/>
  <c r="W123" i="1" s="1"/>
  <c r="M123" i="1"/>
  <c r="L124" i="1"/>
  <c r="R124" i="1" s="1"/>
  <c r="M124" i="1"/>
  <c r="S124" i="1" s="1"/>
  <c r="L125" i="1"/>
  <c r="R125" i="1" s="1"/>
  <c r="M125" i="1"/>
  <c r="S125" i="1" s="1"/>
  <c r="L126" i="1"/>
  <c r="R126" i="1" s="1"/>
  <c r="W126" i="1" s="1"/>
  <c r="M126" i="1"/>
  <c r="S126" i="1" s="1"/>
  <c r="L127" i="1"/>
  <c r="R127" i="1" s="1"/>
  <c r="W127" i="1" s="1"/>
  <c r="M127" i="1"/>
  <c r="L128" i="1"/>
  <c r="M128" i="1"/>
  <c r="S128" i="1" s="1"/>
  <c r="L129" i="1"/>
  <c r="M129" i="1"/>
  <c r="S129" i="1" s="1"/>
  <c r="L130" i="1"/>
  <c r="R130" i="1" s="1"/>
  <c r="M130" i="1"/>
  <c r="S130" i="1" s="1"/>
  <c r="L131" i="1"/>
  <c r="R131" i="1" s="1"/>
  <c r="W131" i="1" s="1"/>
  <c r="M131" i="1"/>
  <c r="L132" i="1"/>
  <c r="R132" i="1" s="1"/>
  <c r="W132" i="1" s="1"/>
  <c r="M132" i="1"/>
  <c r="S132" i="1" s="1"/>
  <c r="L133" i="1"/>
  <c r="M133" i="1"/>
  <c r="S133" i="1" s="1"/>
  <c r="L134" i="1"/>
  <c r="M134" i="1"/>
  <c r="S134" i="1" s="1"/>
  <c r="L135" i="1"/>
  <c r="R135" i="1" s="1"/>
  <c r="W135" i="1" s="1"/>
  <c r="M135" i="1"/>
  <c r="L136" i="1"/>
  <c r="R136" i="1" s="1"/>
  <c r="M136" i="1"/>
  <c r="S136" i="1" s="1"/>
  <c r="L137" i="1"/>
  <c r="R137" i="1" s="1"/>
  <c r="M137" i="1"/>
  <c r="S137" i="1" s="1"/>
  <c r="L138" i="1"/>
  <c r="R138" i="1" s="1"/>
  <c r="M138" i="1"/>
  <c r="S138" i="1" s="1"/>
  <c r="L139" i="1"/>
  <c r="R139" i="1" s="1"/>
  <c r="W139" i="1" s="1"/>
  <c r="M139" i="1"/>
  <c r="L140" i="1"/>
  <c r="M140" i="1"/>
  <c r="L141" i="1"/>
  <c r="R141" i="1" s="1"/>
  <c r="M141" i="1"/>
  <c r="S141" i="1" s="1"/>
  <c r="L142" i="1"/>
  <c r="R142" i="1" s="1"/>
  <c r="W142" i="1" s="1"/>
  <c r="M142" i="1"/>
  <c r="S142" i="1" s="1"/>
  <c r="L143" i="1"/>
  <c r="R143" i="1" s="1"/>
  <c r="W143" i="1" s="1"/>
  <c r="M143" i="1"/>
  <c r="S143" i="1" s="1"/>
  <c r="L144" i="1"/>
  <c r="R144" i="1" s="1"/>
  <c r="W144" i="1" s="1"/>
  <c r="M144" i="1"/>
  <c r="S144" i="1" s="1"/>
  <c r="L145" i="1"/>
  <c r="R145" i="1" s="1"/>
  <c r="M145" i="1"/>
  <c r="S145" i="1" s="1"/>
  <c r="W145" i="1" s="1"/>
  <c r="L146" i="1"/>
  <c r="R146" i="1" s="1"/>
  <c r="W146" i="1" s="1"/>
  <c r="M146" i="1"/>
  <c r="L147" i="1"/>
  <c r="R147" i="1" s="1"/>
  <c r="M147" i="1"/>
  <c r="S147" i="1" s="1"/>
  <c r="W147" i="1" s="1"/>
  <c r="L148" i="1"/>
  <c r="R148" i="1" s="1"/>
  <c r="W148" i="1" s="1"/>
  <c r="M148" i="1"/>
  <c r="S148" i="1" s="1"/>
  <c r="L149" i="1"/>
  <c r="R149" i="1" s="1"/>
  <c r="M149" i="1"/>
  <c r="L150" i="1"/>
  <c r="R150" i="1" s="1"/>
  <c r="W150" i="1" s="1"/>
  <c r="M150" i="1"/>
  <c r="S150" i="1" s="1"/>
  <c r="L151" i="1"/>
  <c r="R151" i="1" s="1"/>
  <c r="W151" i="1" s="1"/>
  <c r="M151" i="1"/>
  <c r="L152" i="1"/>
  <c r="R152" i="1" s="1"/>
  <c r="W152" i="1" s="1"/>
  <c r="M152" i="1"/>
  <c r="S152" i="1" s="1"/>
  <c r="L153" i="1"/>
  <c r="R153" i="1" s="1"/>
  <c r="M153" i="1"/>
  <c r="S153" i="1" s="1"/>
  <c r="W153" i="1" s="1"/>
  <c r="L154" i="1"/>
  <c r="R154" i="1" s="1"/>
  <c r="M154" i="1"/>
  <c r="S154" i="1" s="1"/>
  <c r="L155" i="1"/>
  <c r="R155" i="1" s="1"/>
  <c r="W155" i="1" s="1"/>
  <c r="M155" i="1"/>
  <c r="S155" i="1" s="1"/>
  <c r="L156" i="1"/>
  <c r="R156" i="1" s="1"/>
  <c r="W156" i="1" s="1"/>
  <c r="M156" i="1"/>
  <c r="S156" i="1" s="1"/>
  <c r="L157" i="1"/>
  <c r="R157" i="1" s="1"/>
  <c r="M157" i="1"/>
  <c r="S157" i="1" s="1"/>
  <c r="M2" i="1"/>
  <c r="S2" i="1" s="1"/>
  <c r="L2" i="1"/>
  <c r="W77" i="1" l="1"/>
  <c r="W65" i="1"/>
  <c r="W141" i="1"/>
  <c r="W64" i="1"/>
  <c r="V126" i="1"/>
  <c r="U126" i="1"/>
  <c r="V65" i="1"/>
  <c r="U65" i="1"/>
  <c r="U148" i="1"/>
  <c r="V148" i="1"/>
  <c r="V91" i="1"/>
  <c r="U91" i="1"/>
  <c r="W90" i="1"/>
  <c r="U9" i="1"/>
  <c r="U49" i="1"/>
  <c r="V147" i="1"/>
  <c r="U147" i="1"/>
  <c r="W157" i="1"/>
  <c r="W125" i="1"/>
  <c r="W117" i="1"/>
  <c r="W101" i="1"/>
  <c r="W93" i="1"/>
  <c r="W37" i="1"/>
  <c r="W2" i="1"/>
  <c r="U15" i="1"/>
  <c r="V16" i="1"/>
  <c r="U21" i="1"/>
  <c r="U27" i="1"/>
  <c r="V32" i="1"/>
  <c r="U40" i="1"/>
  <c r="U48" i="1"/>
  <c r="U55" i="1"/>
  <c r="U56" i="1"/>
  <c r="U60" i="1"/>
  <c r="V88" i="1"/>
  <c r="W154" i="1"/>
  <c r="W57" i="1"/>
  <c r="U22" i="1"/>
  <c r="W69" i="1"/>
  <c r="W72" i="1"/>
  <c r="W128" i="1"/>
  <c r="U4" i="1"/>
  <c r="V6" i="1"/>
  <c r="V7" i="1"/>
  <c r="U14" i="1"/>
  <c r="V20" i="1"/>
  <c r="V31" i="1"/>
  <c r="U45" i="1"/>
  <c r="U46" i="1"/>
  <c r="U47" i="1"/>
  <c r="V51" i="1"/>
  <c r="U53" i="1"/>
  <c r="U54" i="1"/>
  <c r="U61" i="1"/>
  <c r="V63" i="1"/>
  <c r="U63" i="1"/>
  <c r="V67" i="1"/>
  <c r="U67" i="1"/>
  <c r="W78" i="1"/>
  <c r="V102" i="1"/>
  <c r="U102" i="1"/>
  <c r="V106" i="1"/>
  <c r="V62" i="1"/>
  <c r="U62" i="1"/>
  <c r="V97" i="1"/>
  <c r="U97" i="1"/>
  <c r="U132" i="1"/>
  <c r="V132" i="1"/>
  <c r="U64" i="1"/>
  <c r="V64" i="1"/>
  <c r="U87" i="1"/>
  <c r="V87" i="1"/>
  <c r="W149" i="1"/>
  <c r="W120" i="1"/>
  <c r="W112" i="1"/>
  <c r="W92" i="1"/>
  <c r="W60" i="1"/>
  <c r="V13" i="1"/>
  <c r="W82" i="1"/>
  <c r="U92" i="1"/>
  <c r="V92" i="1"/>
  <c r="V116" i="1"/>
  <c r="V118" i="1"/>
  <c r="U118" i="1"/>
  <c r="V133" i="1"/>
  <c r="W134" i="1"/>
  <c r="V139" i="1"/>
  <c r="U139" i="1"/>
  <c r="U84" i="1"/>
  <c r="V84" i="1"/>
  <c r="W98" i="1"/>
  <c r="U23" i="1"/>
  <c r="W42" i="1"/>
  <c r="U76" i="1"/>
  <c r="V83" i="1"/>
  <c r="U83" i="1"/>
  <c r="V123" i="1"/>
  <c r="V128" i="1"/>
  <c r="V130" i="1"/>
  <c r="W50" i="1"/>
  <c r="V81" i="1"/>
  <c r="U111" i="1"/>
  <c r="W34" i="1"/>
  <c r="W38" i="1"/>
  <c r="U68" i="1"/>
  <c r="U108" i="1"/>
  <c r="V110" i="1"/>
  <c r="V134" i="1"/>
  <c r="U134" i="1"/>
  <c r="U140" i="1"/>
  <c r="V150" i="1"/>
  <c r="U143" i="1"/>
  <c r="W138" i="1"/>
  <c r="W130" i="1"/>
  <c r="W122" i="1"/>
  <c r="W114" i="1"/>
  <c r="W106" i="1"/>
  <c r="V35" i="1"/>
  <c r="U36" i="1"/>
  <c r="V99" i="1"/>
  <c r="U100" i="1"/>
  <c r="U103" i="1"/>
  <c r="U135" i="1"/>
  <c r="U156" i="1"/>
  <c r="U157" i="1"/>
</calcChain>
</file>

<file path=xl/sharedStrings.xml><?xml version="1.0" encoding="utf-8"?>
<sst xmlns="http://schemas.openxmlformats.org/spreadsheetml/2006/main" count="58" uniqueCount="58">
  <si>
    <t>路線番号</t>
  </si>
  <si>
    <t>系統速度</t>
  </si>
  <si>
    <t>link(0,1)</t>
  </si>
  <si>
    <t>link(1,2)</t>
  </si>
  <si>
    <t>link(2,3)</t>
  </si>
  <si>
    <t>link(0,3)</t>
  </si>
  <si>
    <t>Λ(0,1)</t>
  </si>
  <si>
    <t>Λ(1,2)</t>
  </si>
  <si>
    <t>Λ(2,3)</t>
  </si>
  <si>
    <t>Λ(0,3)</t>
  </si>
  <si>
    <t>x0opt</t>
  </si>
  <si>
    <t>x1opt</t>
  </si>
  <si>
    <t>x2opt</t>
  </si>
  <si>
    <t>x3opt</t>
  </si>
  <si>
    <t>d0opt(s/veh)</t>
  </si>
  <si>
    <t>d1opt(s/veh)</t>
  </si>
  <si>
    <t>d2opt(s/veh)</t>
  </si>
  <si>
    <t>d3opt(s/veh)</t>
  </si>
  <si>
    <t>dopt(s/veh)</t>
  </si>
  <si>
    <t>FTT(s/veh)</t>
  </si>
  <si>
    <t>TTT(s/veh)</t>
  </si>
  <si>
    <t>d0_stop(s/veh)</t>
  </si>
  <si>
    <t>d1_stop(s/veh)</t>
  </si>
  <si>
    <t>d2_stop(s/veh)</t>
  </si>
  <si>
    <t>d3_stop(s/veh)</t>
  </si>
  <si>
    <t>d_stop_total(s/veh)</t>
  </si>
  <si>
    <t>Nveh_total_eval</t>
  </si>
  <si>
    <t>d0_F(s/veh)</t>
  </si>
  <si>
    <t>d1_F(s/veh)</t>
  </si>
  <si>
    <t>d2_F(s/veh)</t>
  </si>
  <si>
    <t>d3_F(s/veh)</t>
  </si>
  <si>
    <t>d0_B(s/veh)</t>
  </si>
  <si>
    <t>d1_B(s/veh)</t>
  </si>
  <si>
    <t>d2_B(s/veh)</t>
  </si>
  <si>
    <t>d3_B(s/veh)</t>
  </si>
  <si>
    <t>d_total_F_stop(s/veh)</t>
  </si>
  <si>
    <t>d_total_B_stop(s/veh)</t>
  </si>
  <si>
    <t>d_total_bi_stop(s/veh)</t>
  </si>
  <si>
    <t>d_total_F_TT(s/veh)</t>
  </si>
  <si>
    <t>d_total_B_TT(s/veh)</t>
  </si>
  <si>
    <t>d_total_bi_TT(s/veh)</t>
  </si>
  <si>
    <t>d0_bi(s/veh)</t>
  </si>
  <si>
    <t>d1_bi(s/veh)</t>
  </si>
  <si>
    <t>d2_bi(s/veh)</t>
  </si>
  <si>
    <t>d3_bi(s/veh)</t>
  </si>
  <si>
    <t>Λ(0,2)</t>
    <phoneticPr fontId="2"/>
  </si>
  <si>
    <t>Λ(1,3)</t>
    <phoneticPr fontId="2"/>
  </si>
  <si>
    <t>link(0,2)</t>
    <phoneticPr fontId="2"/>
  </si>
  <si>
    <t>link(1,3)</t>
    <phoneticPr fontId="2"/>
  </si>
  <si>
    <t>d01</t>
    <phoneticPr fontId="2"/>
  </si>
  <si>
    <t>d12</t>
    <phoneticPr fontId="2"/>
  </si>
  <si>
    <t>d23</t>
    <phoneticPr fontId="2"/>
  </si>
  <si>
    <t>d02</t>
    <phoneticPr fontId="2"/>
  </si>
  <si>
    <t>d13</t>
    <phoneticPr fontId="2"/>
  </si>
  <si>
    <t>d03</t>
    <phoneticPr fontId="2"/>
  </si>
  <si>
    <t>S(Λ)</t>
    <phoneticPr fontId="2"/>
  </si>
  <si>
    <t>S(Λclose)</t>
    <phoneticPr fontId="2"/>
  </si>
  <si>
    <t>S(Λfar)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</si>
</sst>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9FDA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9FDA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57"/>
  <sheetViews>
    <sheetView tabSelected="1" topLeftCell="L1" workbookViewId="0">
      <selection activeCell="A2" sqref="A2:XFD14"/>
    </sheetView>
  </sheetViews>
  <sheetFormatPr defaultRowHeight="13.2" x14ac:dyDescent="0.2"/>
  <cols>
    <col min="6" max="6" width="9.21875" customWidth="1"/>
    <col min="7" max="7" width="9.77734375" customWidth="1"/>
    <col min="15" max="23" width="10" customWidth="1"/>
    <col min="32" max="32" width="13.5546875" customWidth="1"/>
  </cols>
  <sheetData>
    <row r="1" spans="1:5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47</v>
      </c>
      <c r="G1" s="1" t="s">
        <v>48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45</v>
      </c>
      <c r="M1" s="1" t="s">
        <v>46</v>
      </c>
      <c r="N1" s="1" t="s">
        <v>9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16</v>
      </c>
      <c r="AE1" s="1" t="s">
        <v>17</v>
      </c>
      <c r="AF1" s="1" t="s">
        <v>18</v>
      </c>
      <c r="AG1" s="1" t="s">
        <v>19</v>
      </c>
      <c r="AH1" s="1" t="s">
        <v>20</v>
      </c>
      <c r="AI1" s="1" t="s">
        <v>21</v>
      </c>
      <c r="AJ1" s="1" t="s">
        <v>22</v>
      </c>
      <c r="AK1" s="1" t="s">
        <v>23</v>
      </c>
      <c r="AL1" s="1" t="s">
        <v>24</v>
      </c>
      <c r="AM1" s="1" t="s">
        <v>25</v>
      </c>
      <c r="AN1" s="1" t="s">
        <v>26</v>
      </c>
      <c r="AO1" s="1" t="s">
        <v>27</v>
      </c>
      <c r="AP1" s="1" t="s">
        <v>28</v>
      </c>
      <c r="AQ1" s="1" t="s">
        <v>29</v>
      </c>
      <c r="AR1" s="1" t="s">
        <v>30</v>
      </c>
      <c r="AS1" s="1" t="s">
        <v>31</v>
      </c>
      <c r="AT1" s="1" t="s">
        <v>32</v>
      </c>
      <c r="AU1" s="1" t="s">
        <v>33</v>
      </c>
      <c r="AV1" s="1" t="s">
        <v>34</v>
      </c>
      <c r="AW1" s="1" t="s">
        <v>35</v>
      </c>
      <c r="AX1" s="1" t="s">
        <v>36</v>
      </c>
      <c r="AY1" s="1" t="s">
        <v>37</v>
      </c>
      <c r="AZ1" s="1" t="s">
        <v>38</v>
      </c>
      <c r="BA1" s="1" t="s">
        <v>39</v>
      </c>
      <c r="BB1" s="1" t="s">
        <v>40</v>
      </c>
      <c r="BC1" s="1" t="s">
        <v>41</v>
      </c>
      <c r="BD1" s="1" t="s">
        <v>42</v>
      </c>
      <c r="BE1" s="1" t="s">
        <v>43</v>
      </c>
      <c r="BF1" s="1" t="s">
        <v>44</v>
      </c>
    </row>
    <row r="2" spans="1:58" x14ac:dyDescent="0.2">
      <c r="A2">
        <v>311</v>
      </c>
      <c r="B2">
        <v>50</v>
      </c>
      <c r="C2">
        <v>208.33333333333351</v>
      </c>
      <c r="D2">
        <v>250</v>
      </c>
      <c r="E2">
        <v>208.33333333333329</v>
      </c>
      <c r="F2">
        <f t="shared" ref="F2:G33" si="0">C2+D2</f>
        <v>458.33333333333348</v>
      </c>
      <c r="G2">
        <f>D2+E2</f>
        <v>458.33333333333326</v>
      </c>
      <c r="H2">
        <v>666.66666666666686</v>
      </c>
      <c r="I2">
        <v>0.12500000000000011</v>
      </c>
      <c r="J2">
        <v>0.15</v>
      </c>
      <c r="K2">
        <v>0.125</v>
      </c>
      <c r="L2">
        <f>SUM(I2:J2)</f>
        <v>0.27500000000000013</v>
      </c>
      <c r="M2">
        <f>SUM(J2:K2)</f>
        <v>0.27500000000000002</v>
      </c>
      <c r="N2">
        <v>0.40000000000000008</v>
      </c>
      <c r="O2">
        <f>_xlfn.LET(_xlpm.x,MOD(I2,1),IF(OR(AND(_xlpm.x&gt;=0.45,_xlpm.x&lt;=0.55),_xlpm.x&gt;=0.95,_xlpm.x&lt;=0.05),0,IF(_xlpm.x&lt;0.45,MIN(0.45-_xlpm.x,_xlpm.x-0.05),MIN(_xlpm.x-0.55,0.95-_xlpm.x))))</f>
        <v>7.5000000000000108E-2</v>
      </c>
      <c r="P2">
        <f>_xlfn.LET(_xlpm.x,MOD(J2,1),IF(OR(AND(_xlpm.x&gt;=0.35,_xlpm.x&lt;=0.65),_xlpm.x&gt;=0.85,_xlpm.x&lt;=0.15),0,IF(_xlpm.x&lt;0.35,MIN(0.35-_xlpm.x,_xlpm.x-0.15),MIN(_xlpm.x-0.65,0.85-_xlpm.x))))</f>
        <v>0</v>
      </c>
      <c r="Q2">
        <f>_xlfn.LET(_xlpm.x,MOD(K2,1),IF(OR(AND(_xlpm.x&gt;=0.4,_xlpm.x&lt;=0.6),_xlpm.x&gt;=0.9,_xlpm.x&lt;=0.1),0,IF(_xlpm.x&lt;0.4,MIN(0.4-_xlpm.x,_xlpm.x-0.1),MIN(_xlpm.x-0.6,0.9-_xlpm.x))))</f>
        <v>2.4999999999999994E-2</v>
      </c>
      <c r="R2">
        <f>_xlfn.LET(_xlpm.x,MOD(L2,1),IF(OR(AND(_xlpm.x&gt;=0.4,_xlpm.x&lt;=0.6),_xlpm.x&gt;=0.9,_xlpm.x&lt;=0.1),0,IF(_xlpm.x&lt;0.4,MIN(0.4-_xlpm.x,_xlpm.x-0.1),MIN(_xlpm.x-0.6,0.9-_xlpm.x))))</f>
        <v>0.12499999999999989</v>
      </c>
      <c r="S2">
        <f>_xlfn.LET(_xlpm.x,MOD(M2,1),IF(OR(AND(_xlpm.x&gt;=0.45,_xlpm.x&lt;=0.55),_xlpm.x&gt;=0.95,_xlpm.x&lt;=0.05),0,IF(_xlpm.x&lt;0.45,MIN(0.45-_xlpm.x,_xlpm.x-0.05),MIN(_xlpm.x-0.55,0.95-_xlpm.x))))</f>
        <v>0.17499999999999999</v>
      </c>
      <c r="T2">
        <f>_xlfn.LET(_xlpm.x,MOD(N2,1),MIN(MIN(_xlpm.x,1-_xlpm.x),ABS(_xlpm.x-0.5)))</f>
        <v>9.9999999999999922E-2</v>
      </c>
      <c r="U2">
        <f>SQRT(SUMSQ(O2,T2))</f>
        <v>0.125</v>
      </c>
      <c r="V2">
        <f>SQRT(SUMSQ(O2:Q2))</f>
        <v>7.9056941504209582E-2</v>
      </c>
      <c r="W2">
        <f>SQRT(SUMSQ(R2:T2))</f>
        <v>0.23717082451262836</v>
      </c>
      <c r="X2">
        <v>0</v>
      </c>
      <c r="Y2">
        <v>115.2</v>
      </c>
      <c r="Z2">
        <v>31.2</v>
      </c>
      <c r="AA2">
        <v>50.4</v>
      </c>
      <c r="AB2">
        <v>0</v>
      </c>
      <c r="AC2">
        <v>0</v>
      </c>
      <c r="AD2">
        <v>0</v>
      </c>
      <c r="AE2">
        <v>0</v>
      </c>
      <c r="AF2">
        <v>29.999999999999591</v>
      </c>
      <c r="AG2">
        <v>48.000000000000007</v>
      </c>
      <c r="AH2">
        <v>77.999999999999602</v>
      </c>
      <c r="AI2">
        <v>7.9049999999999727</v>
      </c>
      <c r="AJ2">
        <v>27.195000000000022</v>
      </c>
      <c r="AK2">
        <v>10.52999999999999</v>
      </c>
      <c r="AL2">
        <v>3.238999999999983</v>
      </c>
      <c r="AM2">
        <v>48.868999999999971</v>
      </c>
      <c r="AN2">
        <v>180</v>
      </c>
      <c r="AO2">
        <v>0</v>
      </c>
      <c r="AP2">
        <v>6.2399999999999034</v>
      </c>
      <c r="AQ2">
        <v>7.5599999999999357</v>
      </c>
      <c r="AR2">
        <v>4.1999999999997577</v>
      </c>
      <c r="AS2">
        <v>9.4859999999998958</v>
      </c>
      <c r="AT2">
        <v>26.394000000000151</v>
      </c>
      <c r="AU2">
        <v>6.1199999999999513</v>
      </c>
      <c r="AV2">
        <v>0</v>
      </c>
      <c r="AW2">
        <v>17.999999999999591</v>
      </c>
      <c r="AX2">
        <v>42</v>
      </c>
      <c r="AY2">
        <v>29.999999999999801</v>
      </c>
      <c r="AZ2">
        <v>17.999999999999741</v>
      </c>
      <c r="BA2">
        <v>41.999999999999588</v>
      </c>
      <c r="BB2">
        <v>29.99999999999967</v>
      </c>
      <c r="BC2">
        <v>4.7429999999999479</v>
      </c>
      <c r="BD2">
        <v>16.317000000000029</v>
      </c>
      <c r="BE2">
        <v>6.839999999999943</v>
      </c>
      <c r="BF2">
        <v>2.0999999999998789</v>
      </c>
    </row>
    <row r="3" spans="1:58" x14ac:dyDescent="0.2">
      <c r="A3">
        <v>311</v>
      </c>
      <c r="B3">
        <v>47.5</v>
      </c>
      <c r="C3">
        <v>208.33333333333329</v>
      </c>
      <c r="D3">
        <v>250</v>
      </c>
      <c r="E3">
        <v>208.33333333333329</v>
      </c>
      <c r="F3">
        <f t="shared" si="0"/>
        <v>458.33333333333326</v>
      </c>
      <c r="G3">
        <f t="shared" si="0"/>
        <v>458.33333333333326</v>
      </c>
      <c r="H3">
        <v>666.66666666666674</v>
      </c>
      <c r="I3">
        <v>0.1315789473684211</v>
      </c>
      <c r="J3">
        <v>0.15789473684210531</v>
      </c>
      <c r="K3">
        <v>0.1315789473684211</v>
      </c>
      <c r="L3">
        <f t="shared" ref="L3:L66" si="1">SUM(I3:J3)</f>
        <v>0.28947368421052644</v>
      </c>
      <c r="M3">
        <f t="shared" ref="M3:M66" si="2">SUM(J3:K3)</f>
        <v>0.28947368421052644</v>
      </c>
      <c r="N3">
        <v>0.4210526315789474</v>
      </c>
      <c r="O3">
        <f t="shared" ref="O3:O66" si="3">_xlfn.LET(_xlpm.x,MOD(I3,1),IF(OR(AND(_xlpm.x&gt;=0.45,_xlpm.x&lt;=0.55),_xlpm.x&gt;=0.95,_xlpm.x&lt;=0.05),0,IF(_xlpm.x&lt;0.45,MIN(0.45-_xlpm.x,_xlpm.x-0.05),MIN(_xlpm.x-0.55,0.95-_xlpm.x))))</f>
        <v>8.1578947368421098E-2</v>
      </c>
      <c r="P3">
        <f t="shared" ref="P3:P66" si="4">_xlfn.LET(_xlpm.x,MOD(J3,1),IF(OR(AND(_xlpm.x&gt;=0.35,_xlpm.x&lt;=0.65),_xlpm.x&gt;=0.85,_xlpm.x&lt;=0.15),0,IF(_xlpm.x&lt;0.35,MIN(0.35-_xlpm.x,_xlpm.x-0.15),MIN(_xlpm.x-0.65,0.85-_xlpm.x))))</f>
        <v>7.8947368421053155E-3</v>
      </c>
      <c r="Q3">
        <f t="shared" ref="Q3:R66" si="5">_xlfn.LET(_xlpm.x,MOD(K3,1),IF(OR(AND(_xlpm.x&gt;=0.4,_xlpm.x&lt;=0.6),_xlpm.x&gt;=0.9,_xlpm.x&lt;=0.1),0,IF(_xlpm.x&lt;0.4,MIN(0.4-_xlpm.x,_xlpm.x-0.1),MIN(_xlpm.x-0.6,0.9-_xlpm.x))))</f>
        <v>3.1578947368421095E-2</v>
      </c>
      <c r="R3">
        <f t="shared" si="5"/>
        <v>0.11052631578947358</v>
      </c>
      <c r="S3">
        <f t="shared" ref="S3:S66" si="6">_xlfn.LET(_xlpm.x,MOD(M3,1),IF(OR(AND(_xlpm.x&gt;=0.45,_xlpm.x&lt;=0.55),_xlpm.x&gt;=0.95,_xlpm.x&lt;=0.05),0,IF(_xlpm.x&lt;0.45,MIN(0.45-_xlpm.x,_xlpm.x-0.05),MIN(_xlpm.x-0.55,0.95-_xlpm.x))))</f>
        <v>0.16052631578947357</v>
      </c>
      <c r="T3">
        <f t="shared" ref="T3:T66" si="7">_xlfn.LET(_xlpm.x,MOD(N3,1),MIN(MIN(_xlpm.x,1-_xlpm.x),ABS(_xlpm.x-0.5)))</f>
        <v>7.8947368421052599E-2</v>
      </c>
      <c r="U3">
        <f t="shared" ref="U3:U66" si="8">SQRT(SUMSQ(O3,T3))</f>
        <v>0.11352449794801577</v>
      </c>
      <c r="V3">
        <f t="shared" ref="V3:V66" si="9">SQRT(SUMSQ(O3:Q3))</f>
        <v>8.7833259306729736E-2</v>
      </c>
      <c r="W3">
        <f t="shared" ref="W3:W66" si="10">SQRT(SUMSQ(R3:T3))</f>
        <v>0.21027946053655749</v>
      </c>
      <c r="X3">
        <v>0</v>
      </c>
      <c r="Y3">
        <v>1.2</v>
      </c>
      <c r="Z3">
        <v>27.6</v>
      </c>
      <c r="AA3">
        <v>52.8</v>
      </c>
      <c r="AB3">
        <v>0</v>
      </c>
      <c r="AC3">
        <v>0</v>
      </c>
      <c r="AD3">
        <v>0</v>
      </c>
      <c r="AE3">
        <v>0</v>
      </c>
      <c r="AF3">
        <v>29.052631578946912</v>
      </c>
      <c r="AG3">
        <v>50.526315789473678</v>
      </c>
      <c r="AH3">
        <v>79.578947368420586</v>
      </c>
      <c r="AI3">
        <v>13.606481994459839</v>
      </c>
      <c r="AJ3">
        <v>21.83562326869805</v>
      </c>
      <c r="AK3">
        <v>8.7627700831024828</v>
      </c>
      <c r="AL3">
        <v>3.8032243767312881</v>
      </c>
      <c r="AM3">
        <v>48.008099722991673</v>
      </c>
      <c r="AN3">
        <v>180</v>
      </c>
      <c r="AO3">
        <v>0</v>
      </c>
      <c r="AP3">
        <v>2.0715789473683501</v>
      </c>
      <c r="AQ3">
        <v>0.32163988919669972</v>
      </c>
      <c r="AR3">
        <v>5.0594127423822002</v>
      </c>
      <c r="AS3">
        <v>16.327778393351199</v>
      </c>
      <c r="AT3">
        <v>24.13116897506924</v>
      </c>
      <c r="AU3">
        <v>10.193684210526079</v>
      </c>
      <c r="AV3">
        <v>0</v>
      </c>
      <c r="AW3">
        <v>7.4526315789472486</v>
      </c>
      <c r="AX3">
        <v>50.652631578946533</v>
      </c>
      <c r="AY3">
        <v>29.05263157894689</v>
      </c>
      <c r="AZ3">
        <v>7.4526315789472051</v>
      </c>
      <c r="BA3">
        <v>50.652631578946639</v>
      </c>
      <c r="BB3">
        <v>29.052631578946919</v>
      </c>
      <c r="BC3">
        <v>8.1638891966755995</v>
      </c>
      <c r="BD3">
        <v>13.10137396121879</v>
      </c>
      <c r="BE3">
        <v>5.2576620498613922</v>
      </c>
      <c r="BF3">
        <v>2.5297063711911001</v>
      </c>
    </row>
    <row r="4" spans="1:58" x14ac:dyDescent="0.2">
      <c r="A4">
        <v>311</v>
      </c>
      <c r="B4">
        <v>45</v>
      </c>
      <c r="C4">
        <v>208.333333333333</v>
      </c>
      <c r="D4">
        <v>250</v>
      </c>
      <c r="E4">
        <v>208.33333333333351</v>
      </c>
      <c r="F4">
        <f t="shared" si="0"/>
        <v>458.33333333333303</v>
      </c>
      <c r="G4">
        <f t="shared" si="0"/>
        <v>458.33333333333348</v>
      </c>
      <c r="H4">
        <v>666.66666666666652</v>
      </c>
      <c r="I4">
        <v>0.1388888888888887</v>
      </c>
      <c r="J4">
        <v>0.16666666666666671</v>
      </c>
      <c r="K4">
        <v>0.13888888888888901</v>
      </c>
      <c r="L4">
        <f t="shared" si="1"/>
        <v>0.30555555555555541</v>
      </c>
      <c r="M4">
        <f t="shared" si="2"/>
        <v>0.30555555555555569</v>
      </c>
      <c r="N4">
        <v>0.44444444444444442</v>
      </c>
      <c r="O4">
        <f t="shared" si="3"/>
        <v>8.8888888888888698E-2</v>
      </c>
      <c r="P4">
        <f t="shared" si="4"/>
        <v>1.6666666666666718E-2</v>
      </c>
      <c r="Q4">
        <f t="shared" si="5"/>
        <v>3.8888888888889001E-2</v>
      </c>
      <c r="R4">
        <f t="shared" si="5"/>
        <v>9.4444444444444609E-2</v>
      </c>
      <c r="S4">
        <f t="shared" si="6"/>
        <v>0.14444444444444432</v>
      </c>
      <c r="T4">
        <f t="shared" si="7"/>
        <v>5.555555555555558E-2</v>
      </c>
      <c r="U4">
        <f t="shared" si="8"/>
        <v>0.10482201257840656</v>
      </c>
      <c r="V4">
        <f t="shared" si="9"/>
        <v>9.8444695259274045E-2</v>
      </c>
      <c r="W4">
        <f t="shared" si="10"/>
        <v>0.18130187635645245</v>
      </c>
      <c r="X4">
        <v>0</v>
      </c>
      <c r="Y4">
        <v>1.2</v>
      </c>
      <c r="Z4">
        <v>25.2</v>
      </c>
      <c r="AA4">
        <v>50.4</v>
      </c>
      <c r="AB4">
        <v>0</v>
      </c>
      <c r="AC4">
        <v>0</v>
      </c>
      <c r="AD4">
        <v>0</v>
      </c>
      <c r="AE4">
        <v>0</v>
      </c>
      <c r="AF4">
        <v>27.999999999999162</v>
      </c>
      <c r="AG4">
        <v>53.333333333333329</v>
      </c>
      <c r="AH4">
        <v>81.33333333333249</v>
      </c>
      <c r="AI4">
        <v>14.425679012345659</v>
      </c>
      <c r="AJ4">
        <v>22.285432098765419</v>
      </c>
      <c r="AK4">
        <v>9.1259259259259213</v>
      </c>
      <c r="AL4">
        <v>0.74587654320985508</v>
      </c>
      <c r="AM4">
        <v>46.582913580246853</v>
      </c>
      <c r="AN4">
        <v>180</v>
      </c>
      <c r="AO4">
        <v>0</v>
      </c>
      <c r="AP4">
        <v>2.7733333333332362</v>
      </c>
      <c r="AQ4">
        <v>0.23111111111106261</v>
      </c>
      <c r="AR4">
        <v>0.99555555555553943</v>
      </c>
      <c r="AS4">
        <v>17.31081481481419</v>
      </c>
      <c r="AT4">
        <v>23.969185185185129</v>
      </c>
      <c r="AU4">
        <v>10.719999999999869</v>
      </c>
      <c r="AV4">
        <v>0</v>
      </c>
      <c r="AW4">
        <v>3.9999999999998379</v>
      </c>
      <c r="AX4">
        <v>51.99999999999919</v>
      </c>
      <c r="AY4">
        <v>27.99999999999951</v>
      </c>
      <c r="AZ4">
        <v>3.9999999999996798</v>
      </c>
      <c r="BA4">
        <v>51.999999999998643</v>
      </c>
      <c r="BB4">
        <v>27.999999999999162</v>
      </c>
      <c r="BC4">
        <v>8.655407407407095</v>
      </c>
      <c r="BD4">
        <v>13.37125925925919</v>
      </c>
      <c r="BE4">
        <v>5.4755555555554656</v>
      </c>
      <c r="BF4">
        <v>0.49777777777776971</v>
      </c>
    </row>
    <row r="5" spans="1:58" x14ac:dyDescent="0.2">
      <c r="A5">
        <v>311</v>
      </c>
      <c r="B5">
        <v>42.5</v>
      </c>
      <c r="C5">
        <v>208.333333333333</v>
      </c>
      <c r="D5">
        <v>250</v>
      </c>
      <c r="E5">
        <v>208.33333333333351</v>
      </c>
      <c r="F5">
        <f t="shared" si="0"/>
        <v>458.33333333333303</v>
      </c>
      <c r="G5">
        <f t="shared" si="0"/>
        <v>458.33333333333348</v>
      </c>
      <c r="H5">
        <v>666.66666666666652</v>
      </c>
      <c r="I5">
        <v>0.14705882352941149</v>
      </c>
      <c r="J5">
        <v>0.1764705882352941</v>
      </c>
      <c r="K5">
        <v>0.14705882352941191</v>
      </c>
      <c r="L5">
        <f t="shared" si="1"/>
        <v>0.32352941176470562</v>
      </c>
      <c r="M5">
        <f t="shared" si="2"/>
        <v>0.32352941176470601</v>
      </c>
      <c r="N5">
        <v>0.47058823529411747</v>
      </c>
      <c r="O5">
        <f t="shared" si="3"/>
        <v>9.7058823529411489E-2</v>
      </c>
      <c r="P5">
        <f t="shared" si="4"/>
        <v>2.6470588235294107E-2</v>
      </c>
      <c r="Q5">
        <f t="shared" si="5"/>
        <v>4.7058823529411903E-2</v>
      </c>
      <c r="R5">
        <f t="shared" si="5"/>
        <v>7.6470588235294401E-2</v>
      </c>
      <c r="S5">
        <f t="shared" si="6"/>
        <v>0.126470588235294</v>
      </c>
      <c r="T5">
        <f t="shared" si="7"/>
        <v>2.9411764705882526E-2</v>
      </c>
      <c r="U5">
        <f t="shared" si="8"/>
        <v>0.1014172920562743</v>
      </c>
      <c r="V5">
        <f t="shared" si="9"/>
        <v>0.11106592699117161</v>
      </c>
      <c r="W5">
        <f t="shared" si="10"/>
        <v>0.15069045244058241</v>
      </c>
      <c r="X5">
        <v>0</v>
      </c>
      <c r="Y5">
        <v>1.2</v>
      </c>
      <c r="Z5">
        <v>31.2</v>
      </c>
      <c r="AA5">
        <v>56.4</v>
      </c>
      <c r="AB5">
        <v>0</v>
      </c>
      <c r="AC5">
        <v>0</v>
      </c>
      <c r="AD5">
        <v>0</v>
      </c>
      <c r="AE5">
        <v>0</v>
      </c>
      <c r="AF5">
        <v>26.82352941176406</v>
      </c>
      <c r="AG5">
        <v>56.470588235294109</v>
      </c>
      <c r="AH5">
        <v>83.294117647058172</v>
      </c>
      <c r="AI5">
        <v>13.082076124567459</v>
      </c>
      <c r="AJ5">
        <v>17.812041522491342</v>
      </c>
      <c r="AK5">
        <v>9.968512110726639</v>
      </c>
      <c r="AL5">
        <v>3.1679031141868279</v>
      </c>
      <c r="AM5">
        <v>44.03053287197227</v>
      </c>
      <c r="AN5">
        <v>180</v>
      </c>
      <c r="AO5">
        <v>0</v>
      </c>
      <c r="AP5">
        <v>3.5576470588235281</v>
      </c>
      <c r="AQ5">
        <v>0.65397923875433561</v>
      </c>
      <c r="AR5">
        <v>4.6119031141867808</v>
      </c>
      <c r="AS5">
        <v>15.69849134948042</v>
      </c>
      <c r="AT5">
        <v>17.816802768165989</v>
      </c>
      <c r="AU5">
        <v>11.308235294117431</v>
      </c>
      <c r="AV5">
        <v>0</v>
      </c>
      <c r="AW5">
        <v>8.8235294117646443</v>
      </c>
      <c r="AX5">
        <v>44.823529411763843</v>
      </c>
      <c r="AY5">
        <v>26.823529411764241</v>
      </c>
      <c r="AZ5">
        <v>8.8235294117644614</v>
      </c>
      <c r="BA5">
        <v>44.823529411763673</v>
      </c>
      <c r="BB5">
        <v>26.82352941176406</v>
      </c>
      <c r="BC5">
        <v>7.8492456747402084</v>
      </c>
      <c r="BD5">
        <v>10.687224913494759</v>
      </c>
      <c r="BE5">
        <v>5.9811072664358811</v>
      </c>
      <c r="BF5">
        <v>2.3059515570933899</v>
      </c>
    </row>
    <row r="6" spans="1:58" x14ac:dyDescent="0.2">
      <c r="A6">
        <v>311</v>
      </c>
      <c r="B6">
        <v>40</v>
      </c>
      <c r="C6">
        <v>208.333333333333</v>
      </c>
      <c r="D6">
        <v>250</v>
      </c>
      <c r="E6">
        <v>208.33333333333351</v>
      </c>
      <c r="F6">
        <f t="shared" si="0"/>
        <v>458.33333333333303</v>
      </c>
      <c r="G6">
        <f t="shared" si="0"/>
        <v>458.33333333333348</v>
      </c>
      <c r="H6">
        <v>666.66666666666652</v>
      </c>
      <c r="I6">
        <v>0.15624999999999981</v>
      </c>
      <c r="J6">
        <v>0.1875</v>
      </c>
      <c r="K6">
        <v>0.15625000000000011</v>
      </c>
      <c r="L6">
        <f t="shared" si="1"/>
        <v>0.34374999999999978</v>
      </c>
      <c r="M6">
        <f t="shared" si="2"/>
        <v>0.34375000000000011</v>
      </c>
      <c r="N6">
        <v>0.49999999999999989</v>
      </c>
      <c r="O6">
        <f t="shared" si="3"/>
        <v>0.1062499999999998</v>
      </c>
      <c r="P6">
        <f t="shared" si="4"/>
        <v>3.7500000000000006E-2</v>
      </c>
      <c r="Q6">
        <f t="shared" si="5"/>
        <v>5.6250000000000105E-2</v>
      </c>
      <c r="R6">
        <f t="shared" si="5"/>
        <v>5.6250000000000244E-2</v>
      </c>
      <c r="S6">
        <f t="shared" si="6"/>
        <v>0.1062499999999999</v>
      </c>
      <c r="T6">
        <f t="shared" si="7"/>
        <v>1.1102230246251565E-16</v>
      </c>
      <c r="U6">
        <f t="shared" si="8"/>
        <v>0.1062499999999998</v>
      </c>
      <c r="V6">
        <f t="shared" si="9"/>
        <v>0.12593401049756167</v>
      </c>
      <c r="W6">
        <f t="shared" si="10"/>
        <v>0.12022115038544592</v>
      </c>
      <c r="X6">
        <v>0</v>
      </c>
      <c r="Y6">
        <v>116.4</v>
      </c>
      <c r="Z6">
        <v>30</v>
      </c>
      <c r="AA6">
        <v>50.4</v>
      </c>
      <c r="AB6">
        <v>0</v>
      </c>
      <c r="AC6">
        <v>0</v>
      </c>
      <c r="AD6">
        <v>0</v>
      </c>
      <c r="AE6">
        <v>0</v>
      </c>
      <c r="AF6">
        <v>25.499999999999812</v>
      </c>
      <c r="AG6">
        <v>59.999999999999993</v>
      </c>
      <c r="AH6">
        <v>85.499999999999801</v>
      </c>
      <c r="AI6">
        <v>10.257812499999989</v>
      </c>
      <c r="AJ6">
        <v>22.317187499999999</v>
      </c>
      <c r="AK6">
        <v>9.1706250000000047</v>
      </c>
      <c r="AL6">
        <v>0.65093749999999684</v>
      </c>
      <c r="AM6">
        <v>42.396562499999987</v>
      </c>
      <c r="AN6">
        <v>180</v>
      </c>
      <c r="AO6">
        <v>0</v>
      </c>
      <c r="AP6">
        <v>8.2800000000000491</v>
      </c>
      <c r="AQ6">
        <v>1.9147500000000739</v>
      </c>
      <c r="AR6">
        <v>0.90525000000011968</v>
      </c>
      <c r="AS6">
        <v>12.309375000000159</v>
      </c>
      <c r="AT6">
        <v>18.50062499999985</v>
      </c>
      <c r="AU6">
        <v>9.0899999999999022</v>
      </c>
      <c r="AV6">
        <v>0</v>
      </c>
      <c r="AW6">
        <v>11.100000000000239</v>
      </c>
      <c r="AX6">
        <v>39.899999999999913</v>
      </c>
      <c r="AY6">
        <v>25.500000000000082</v>
      </c>
      <c r="AZ6">
        <v>11.10000000000001</v>
      </c>
      <c r="BA6">
        <v>39.90000000000002</v>
      </c>
      <c r="BB6">
        <v>25.500000000000011</v>
      </c>
      <c r="BC6">
        <v>6.1546875000000796</v>
      </c>
      <c r="BD6">
        <v>13.390312499999951</v>
      </c>
      <c r="BE6">
        <v>5.5023749999999882</v>
      </c>
      <c r="BF6">
        <v>0.45262500000005979</v>
      </c>
    </row>
    <row r="7" spans="1:58" x14ac:dyDescent="0.2">
      <c r="A7">
        <v>311</v>
      </c>
      <c r="B7">
        <v>37.5</v>
      </c>
      <c r="C7">
        <v>208.33333333333249</v>
      </c>
      <c r="D7">
        <v>250</v>
      </c>
      <c r="E7">
        <v>208.33333333333351</v>
      </c>
      <c r="F7">
        <f t="shared" si="0"/>
        <v>458.33333333333246</v>
      </c>
      <c r="G7">
        <f t="shared" si="0"/>
        <v>458.33333333333348</v>
      </c>
      <c r="H7">
        <v>666.66666666666595</v>
      </c>
      <c r="I7">
        <v>0.16666666666666599</v>
      </c>
      <c r="J7">
        <v>0.2</v>
      </c>
      <c r="K7">
        <v>0.1666666666666668</v>
      </c>
      <c r="L7">
        <f t="shared" si="1"/>
        <v>0.36666666666666603</v>
      </c>
      <c r="M7">
        <f t="shared" si="2"/>
        <v>0.36666666666666681</v>
      </c>
      <c r="N7">
        <v>0.53333333333333288</v>
      </c>
      <c r="O7">
        <f t="shared" si="3"/>
        <v>0.11666666666666599</v>
      </c>
      <c r="P7">
        <f t="shared" si="4"/>
        <v>5.0000000000000017E-2</v>
      </c>
      <c r="Q7">
        <f t="shared" si="5"/>
        <v>6.6666666666666791E-2</v>
      </c>
      <c r="R7">
        <f t="shared" si="5"/>
        <v>3.3333333333333992E-2</v>
      </c>
      <c r="S7">
        <f t="shared" si="6"/>
        <v>8.3333333333333204E-2</v>
      </c>
      <c r="T7">
        <f t="shared" si="7"/>
        <v>3.3333333333332882E-2</v>
      </c>
      <c r="U7">
        <f t="shared" si="8"/>
        <v>0.12133516482134118</v>
      </c>
      <c r="V7">
        <f t="shared" si="9"/>
        <v>0.14337208778404328</v>
      </c>
      <c r="W7">
        <f t="shared" si="10"/>
        <v>9.5742710775633774E-2</v>
      </c>
      <c r="X7">
        <v>0</v>
      </c>
      <c r="Y7">
        <v>4.8</v>
      </c>
      <c r="Z7">
        <v>30</v>
      </c>
      <c r="AA7">
        <v>57.599999999999987</v>
      </c>
      <c r="AB7">
        <v>0</v>
      </c>
      <c r="AC7">
        <v>0</v>
      </c>
      <c r="AD7">
        <v>0</v>
      </c>
      <c r="AE7">
        <v>0</v>
      </c>
      <c r="AF7">
        <v>27.99999999999957</v>
      </c>
      <c r="AG7">
        <v>63.999999999999943</v>
      </c>
      <c r="AH7">
        <v>91.999999999999517</v>
      </c>
      <c r="AI7">
        <v>16.682666666666591</v>
      </c>
      <c r="AJ7">
        <v>14.71911111111107</v>
      </c>
      <c r="AK7">
        <v>11.853333333333349</v>
      </c>
      <c r="AL7">
        <v>3.1466666666666501</v>
      </c>
      <c r="AM7">
        <v>46.401777777777653</v>
      </c>
      <c r="AN7">
        <v>180</v>
      </c>
      <c r="AO7">
        <v>0</v>
      </c>
      <c r="AP7">
        <v>2.5599999999998539</v>
      </c>
      <c r="AQ7">
        <v>6.4000000000022636E-2</v>
      </c>
      <c r="AR7">
        <v>3.7759999999999612</v>
      </c>
      <c r="AS7">
        <v>20.239999999999981</v>
      </c>
      <c r="AT7">
        <v>15.2</v>
      </c>
      <c r="AU7">
        <v>14.159999999999849</v>
      </c>
      <c r="AV7">
        <v>0</v>
      </c>
      <c r="AW7">
        <v>6.3999999999998387</v>
      </c>
      <c r="AX7">
        <v>49.599999999999838</v>
      </c>
      <c r="AY7">
        <v>27.99999999999984</v>
      </c>
      <c r="AZ7">
        <v>6.3999999999994941</v>
      </c>
      <c r="BA7">
        <v>49.599999999999568</v>
      </c>
      <c r="BB7">
        <v>27.999999999999531</v>
      </c>
      <c r="BC7">
        <v>10.11999999999999</v>
      </c>
      <c r="BD7">
        <v>8.8799999999999262</v>
      </c>
      <c r="BE7">
        <v>7.1119999999999388</v>
      </c>
      <c r="BF7">
        <v>1.887999999999981</v>
      </c>
    </row>
    <row r="8" spans="1:58" x14ac:dyDescent="0.2">
      <c r="A8">
        <v>311</v>
      </c>
      <c r="B8">
        <v>35</v>
      </c>
      <c r="C8">
        <v>208.33333333333249</v>
      </c>
      <c r="D8">
        <v>250</v>
      </c>
      <c r="E8">
        <v>208.33333333333351</v>
      </c>
      <c r="F8">
        <f t="shared" si="0"/>
        <v>458.33333333333246</v>
      </c>
      <c r="G8">
        <f t="shared" si="0"/>
        <v>458.33333333333348</v>
      </c>
      <c r="H8">
        <v>666.66666666666595</v>
      </c>
      <c r="I8">
        <v>0.1785714285714278</v>
      </c>
      <c r="J8">
        <v>0.2142857142857143</v>
      </c>
      <c r="K8">
        <v>0.17857142857142869</v>
      </c>
      <c r="L8">
        <f t="shared" si="1"/>
        <v>0.39285714285714213</v>
      </c>
      <c r="M8">
        <f t="shared" si="2"/>
        <v>0.39285714285714302</v>
      </c>
      <c r="N8">
        <v>0.57142857142857084</v>
      </c>
      <c r="O8">
        <f t="shared" si="3"/>
        <v>0.12857142857142778</v>
      </c>
      <c r="P8">
        <f t="shared" si="4"/>
        <v>6.4285714285714307E-2</v>
      </c>
      <c r="Q8">
        <f t="shared" si="5"/>
        <v>7.8571428571428681E-2</v>
      </c>
      <c r="R8">
        <f t="shared" si="5"/>
        <v>7.1428571428578946E-3</v>
      </c>
      <c r="S8">
        <f t="shared" si="6"/>
        <v>5.7142857142856995E-2</v>
      </c>
      <c r="T8">
        <f t="shared" si="7"/>
        <v>7.1428571428570842E-2</v>
      </c>
      <c r="U8">
        <f t="shared" si="8"/>
        <v>0.14708043058552758</v>
      </c>
      <c r="V8">
        <f t="shared" si="9"/>
        <v>0.16381921344542394</v>
      </c>
      <c r="W8">
        <f t="shared" si="10"/>
        <v>9.1751661276179008E-2</v>
      </c>
      <c r="X8">
        <v>0</v>
      </c>
      <c r="Y8">
        <v>90</v>
      </c>
      <c r="Z8">
        <v>69.599999999999994</v>
      </c>
      <c r="AA8">
        <v>51.6</v>
      </c>
      <c r="AB8">
        <v>0</v>
      </c>
      <c r="AC8">
        <v>0</v>
      </c>
      <c r="AD8">
        <v>0</v>
      </c>
      <c r="AE8">
        <v>0</v>
      </c>
      <c r="AF8">
        <v>32.571428571428093</v>
      </c>
      <c r="AG8">
        <v>68.571428571428513</v>
      </c>
      <c r="AH8">
        <v>101.1428571428566</v>
      </c>
      <c r="AI8">
        <v>0.14285714285707249</v>
      </c>
      <c r="AJ8">
        <v>26.285714285714221</v>
      </c>
      <c r="AK8">
        <v>7.5404081632652797</v>
      </c>
      <c r="AL8">
        <v>19.809061224489799</v>
      </c>
      <c r="AM8">
        <v>53.778040816326381</v>
      </c>
      <c r="AN8">
        <v>180</v>
      </c>
      <c r="AO8">
        <v>0</v>
      </c>
      <c r="AP8">
        <v>31.542857142857081</v>
      </c>
      <c r="AQ8">
        <v>9.1542857142856526</v>
      </c>
      <c r="AR8">
        <v>24.274285714285281</v>
      </c>
      <c r="AS8">
        <v>0.171428571428583</v>
      </c>
      <c r="AT8">
        <v>0</v>
      </c>
      <c r="AU8">
        <v>0</v>
      </c>
      <c r="AV8">
        <v>0</v>
      </c>
      <c r="AW8">
        <v>64.971428571428021</v>
      </c>
      <c r="AX8">
        <v>0.171428571428583</v>
      </c>
      <c r="AY8">
        <v>32.571428571428299</v>
      </c>
      <c r="AZ8">
        <v>64.971428571427836</v>
      </c>
      <c r="BA8">
        <v>0.17142857142833631</v>
      </c>
      <c r="BB8">
        <v>32.571428571428093</v>
      </c>
      <c r="BC8">
        <v>8.5714285714291488E-2</v>
      </c>
      <c r="BD8">
        <v>15.77142857142854</v>
      </c>
      <c r="BE8">
        <v>4.5771428571428263</v>
      </c>
      <c r="BF8">
        <v>12.13714285714264</v>
      </c>
    </row>
    <row r="9" spans="1:58" x14ac:dyDescent="0.2">
      <c r="A9">
        <v>311</v>
      </c>
      <c r="B9">
        <v>32.5</v>
      </c>
      <c r="C9">
        <v>208.33333333333249</v>
      </c>
      <c r="D9">
        <v>250</v>
      </c>
      <c r="E9">
        <v>208.33333333333351</v>
      </c>
      <c r="F9">
        <f t="shared" si="0"/>
        <v>458.33333333333246</v>
      </c>
      <c r="G9">
        <f t="shared" si="0"/>
        <v>458.33333333333348</v>
      </c>
      <c r="H9">
        <v>666.66666666666595</v>
      </c>
      <c r="I9">
        <v>0.19230769230769151</v>
      </c>
      <c r="J9">
        <v>0.23076923076923081</v>
      </c>
      <c r="K9">
        <v>0.19230769230769251</v>
      </c>
      <c r="L9">
        <f t="shared" si="1"/>
        <v>0.42307692307692235</v>
      </c>
      <c r="M9">
        <f t="shared" si="2"/>
        <v>0.42307692307692335</v>
      </c>
      <c r="N9">
        <v>0.61538461538461486</v>
      </c>
      <c r="O9">
        <f t="shared" si="3"/>
        <v>0.14230769230769152</v>
      </c>
      <c r="P9">
        <f t="shared" si="4"/>
        <v>8.0769230769230815E-2</v>
      </c>
      <c r="Q9">
        <f t="shared" si="5"/>
        <v>9.2307692307692507E-2</v>
      </c>
      <c r="R9">
        <f t="shared" si="5"/>
        <v>0</v>
      </c>
      <c r="S9">
        <f t="shared" si="6"/>
        <v>2.6923076923076661E-2</v>
      </c>
      <c r="T9">
        <f t="shared" si="7"/>
        <v>0.11538461538461486</v>
      </c>
      <c r="U9">
        <f t="shared" si="8"/>
        <v>0.18320777482791528</v>
      </c>
      <c r="V9">
        <f t="shared" si="9"/>
        <v>0.18787191910491971</v>
      </c>
      <c r="W9">
        <f t="shared" si="10"/>
        <v>0.11848401385191761</v>
      </c>
      <c r="X9">
        <v>0</v>
      </c>
      <c r="Y9">
        <v>0</v>
      </c>
      <c r="Z9">
        <v>73.2</v>
      </c>
      <c r="AA9">
        <v>85.2</v>
      </c>
      <c r="AB9">
        <v>0</v>
      </c>
      <c r="AC9">
        <v>0</v>
      </c>
      <c r="AD9">
        <v>0</v>
      </c>
      <c r="AE9">
        <v>0</v>
      </c>
      <c r="AF9">
        <v>37.846153846153527</v>
      </c>
      <c r="AG9">
        <v>73.846153846153783</v>
      </c>
      <c r="AH9">
        <v>111.6923076923073</v>
      </c>
      <c r="AI9">
        <v>24.06035502958575</v>
      </c>
      <c r="AJ9">
        <v>10.324260355029519</v>
      </c>
      <c r="AK9">
        <v>22.417514792899411</v>
      </c>
      <c r="AL9">
        <v>5.7585562130177692</v>
      </c>
      <c r="AM9">
        <v>62.560686390532453</v>
      </c>
      <c r="AN9">
        <v>180</v>
      </c>
      <c r="AO9">
        <v>0</v>
      </c>
      <c r="AP9">
        <v>8.861538461538375</v>
      </c>
      <c r="AQ9">
        <v>20.510769230769231</v>
      </c>
      <c r="AR9">
        <v>7.2738461538457262</v>
      </c>
      <c r="AS9">
        <v>28.872426035502741</v>
      </c>
      <c r="AT9">
        <v>3.5275739644970998</v>
      </c>
      <c r="AU9">
        <v>6.6461538461538217</v>
      </c>
      <c r="AV9">
        <v>0</v>
      </c>
      <c r="AW9">
        <v>36.646153846153332</v>
      </c>
      <c r="AX9">
        <v>39.046153846153658</v>
      </c>
      <c r="AY9">
        <v>37.846153846153499</v>
      </c>
      <c r="AZ9">
        <v>36.646153846153368</v>
      </c>
      <c r="BA9">
        <v>39.0461538461537</v>
      </c>
      <c r="BB9">
        <v>37.846153846153527</v>
      </c>
      <c r="BC9">
        <v>14.436213017751371</v>
      </c>
      <c r="BD9">
        <v>6.1945562130177372</v>
      </c>
      <c r="BE9">
        <v>13.57846153846153</v>
      </c>
      <c r="BF9">
        <v>3.6369230769228631</v>
      </c>
    </row>
    <row r="10" spans="1:58" x14ac:dyDescent="0.2">
      <c r="A10">
        <v>311</v>
      </c>
      <c r="B10">
        <v>30</v>
      </c>
      <c r="C10">
        <v>208.33333333333201</v>
      </c>
      <c r="D10">
        <v>250</v>
      </c>
      <c r="E10">
        <v>208.33333333333351</v>
      </c>
      <c r="F10">
        <f t="shared" si="0"/>
        <v>458.33333333333201</v>
      </c>
      <c r="G10">
        <f t="shared" si="0"/>
        <v>458.33333333333348</v>
      </c>
      <c r="H10">
        <v>666.66666666666549</v>
      </c>
      <c r="I10">
        <v>0.20833333333333201</v>
      </c>
      <c r="J10">
        <v>0.25</v>
      </c>
      <c r="K10">
        <v>0.20833333333333351</v>
      </c>
      <c r="L10">
        <f t="shared" si="1"/>
        <v>0.45833333333333204</v>
      </c>
      <c r="M10">
        <f t="shared" si="2"/>
        <v>0.45833333333333348</v>
      </c>
      <c r="N10">
        <v>0.66666666666666552</v>
      </c>
      <c r="O10">
        <f t="shared" si="3"/>
        <v>0.15833333333333199</v>
      </c>
      <c r="P10">
        <f t="shared" si="4"/>
        <v>9.9999999999999978E-2</v>
      </c>
      <c r="Q10">
        <f t="shared" si="5"/>
        <v>0.1083333333333335</v>
      </c>
      <c r="R10">
        <f t="shared" si="5"/>
        <v>0</v>
      </c>
      <c r="S10">
        <f t="shared" si="6"/>
        <v>0</v>
      </c>
      <c r="T10">
        <f t="shared" si="7"/>
        <v>0.16666666666666552</v>
      </c>
      <c r="U10">
        <f t="shared" si="8"/>
        <v>0.22988523706889361</v>
      </c>
      <c r="V10">
        <f t="shared" si="9"/>
        <v>0.21634591642911857</v>
      </c>
      <c r="W10">
        <f t="shared" si="10"/>
        <v>0.16666666666666552</v>
      </c>
      <c r="X10">
        <v>0</v>
      </c>
      <c r="Y10">
        <v>97.2</v>
      </c>
      <c r="Z10">
        <v>15.6</v>
      </c>
      <c r="AA10">
        <v>16.8</v>
      </c>
      <c r="AB10">
        <v>0</v>
      </c>
      <c r="AC10">
        <v>0</v>
      </c>
      <c r="AD10">
        <v>0</v>
      </c>
      <c r="AE10">
        <v>0</v>
      </c>
      <c r="AF10">
        <v>42.199999999999172</v>
      </c>
      <c r="AG10">
        <v>79.999999999999858</v>
      </c>
      <c r="AH10">
        <v>122.19999999999899</v>
      </c>
      <c r="AI10">
        <v>1.509444444444445</v>
      </c>
      <c r="AJ10">
        <v>44.257222222222083</v>
      </c>
      <c r="AK10">
        <v>5.2766666666666477</v>
      </c>
      <c r="AL10">
        <v>19.290000000000269</v>
      </c>
      <c r="AM10">
        <v>70.333333333333442</v>
      </c>
      <c r="AN10">
        <v>180</v>
      </c>
      <c r="AO10">
        <v>0</v>
      </c>
      <c r="AP10">
        <v>28.639999999999901</v>
      </c>
      <c r="AQ10">
        <v>5.0119999999999383</v>
      </c>
      <c r="AR10">
        <v>23.14800000000016</v>
      </c>
      <c r="AS10">
        <v>1.8113333333320849</v>
      </c>
      <c r="AT10">
        <v>24.468666666666589</v>
      </c>
      <c r="AU10">
        <v>1.320000000000032</v>
      </c>
      <c r="AV10">
        <v>0</v>
      </c>
      <c r="AW10">
        <v>56.8</v>
      </c>
      <c r="AX10">
        <v>27.599999999998708</v>
      </c>
      <c r="AY10">
        <v>42.199999999999363</v>
      </c>
      <c r="AZ10">
        <v>56.799999999999983</v>
      </c>
      <c r="BA10">
        <v>27.59999999999836</v>
      </c>
      <c r="BB10">
        <v>42.199999999999172</v>
      </c>
      <c r="BC10">
        <v>0.90566666666604256</v>
      </c>
      <c r="BD10">
        <v>26.554333333333251</v>
      </c>
      <c r="BE10">
        <v>3.1659999999999848</v>
      </c>
      <c r="BF10">
        <v>11.57400000000008</v>
      </c>
    </row>
    <row r="11" spans="1:58" x14ac:dyDescent="0.2">
      <c r="A11">
        <v>311</v>
      </c>
      <c r="B11">
        <v>27.5</v>
      </c>
      <c r="C11">
        <v>208.33333333333201</v>
      </c>
      <c r="D11">
        <v>250</v>
      </c>
      <c r="E11">
        <v>208.33333333333351</v>
      </c>
      <c r="F11">
        <f t="shared" si="0"/>
        <v>458.33333333333201</v>
      </c>
      <c r="G11">
        <f t="shared" si="0"/>
        <v>458.33333333333348</v>
      </c>
      <c r="H11">
        <v>666.66666666666549</v>
      </c>
      <c r="I11">
        <v>0.22727272727272579</v>
      </c>
      <c r="J11">
        <v>0.27272727272727282</v>
      </c>
      <c r="K11">
        <v>0.22727272727272749</v>
      </c>
      <c r="L11">
        <f t="shared" si="1"/>
        <v>0.49999999999999861</v>
      </c>
      <c r="M11">
        <f t="shared" si="2"/>
        <v>0.50000000000000033</v>
      </c>
      <c r="N11">
        <v>0.72727272727272607</v>
      </c>
      <c r="O11">
        <f t="shared" si="3"/>
        <v>0.17727272727272581</v>
      </c>
      <c r="P11">
        <f t="shared" si="4"/>
        <v>7.727272727272716E-2</v>
      </c>
      <c r="Q11">
        <f t="shared" si="5"/>
        <v>0.12727272727272748</v>
      </c>
      <c r="R11">
        <f t="shared" si="5"/>
        <v>0</v>
      </c>
      <c r="S11">
        <f t="shared" si="6"/>
        <v>0</v>
      </c>
      <c r="T11">
        <f t="shared" si="7"/>
        <v>0.22727272727272607</v>
      </c>
      <c r="U11">
        <f t="shared" si="8"/>
        <v>0.28823343386341072</v>
      </c>
      <c r="V11">
        <f t="shared" si="9"/>
        <v>0.23150602869539613</v>
      </c>
      <c r="W11">
        <f t="shared" si="10"/>
        <v>0.22727272727272607</v>
      </c>
      <c r="X11">
        <v>0</v>
      </c>
      <c r="Y11">
        <v>99.6</v>
      </c>
      <c r="Z11">
        <v>12</v>
      </c>
      <c r="AA11">
        <v>15.6</v>
      </c>
      <c r="AB11">
        <v>0</v>
      </c>
      <c r="AC11">
        <v>0</v>
      </c>
      <c r="AD11">
        <v>0</v>
      </c>
      <c r="AE11">
        <v>0</v>
      </c>
      <c r="AF11">
        <v>39.59999999999927</v>
      </c>
      <c r="AG11">
        <v>87.272727272727124</v>
      </c>
      <c r="AH11">
        <v>126.87272727272639</v>
      </c>
      <c r="AI11">
        <v>4.581818181818198</v>
      </c>
      <c r="AJ11">
        <v>41.49090909090895</v>
      </c>
      <c r="AK11">
        <v>3.4363636363636529</v>
      </c>
      <c r="AL11">
        <v>16.49090909090938</v>
      </c>
      <c r="AM11">
        <v>66.000000000000171</v>
      </c>
      <c r="AN11">
        <v>180</v>
      </c>
      <c r="AO11">
        <v>0</v>
      </c>
      <c r="AP11">
        <v>28.53818181818157</v>
      </c>
      <c r="AQ11">
        <v>0</v>
      </c>
      <c r="AR11">
        <v>19.789090909091058</v>
      </c>
      <c r="AS11">
        <v>5.4981818181802131</v>
      </c>
      <c r="AT11">
        <v>21.250909090909161</v>
      </c>
      <c r="AU11">
        <v>4.1236363636364537</v>
      </c>
      <c r="AV11">
        <v>0</v>
      </c>
      <c r="AW11">
        <v>48.327272727272629</v>
      </c>
      <c r="AX11">
        <v>30.872727272725829</v>
      </c>
      <c r="AY11">
        <v>39.599999999999227</v>
      </c>
      <c r="AZ11">
        <v>48.327272727272778</v>
      </c>
      <c r="BA11">
        <v>30.872727272725751</v>
      </c>
      <c r="BB11">
        <v>39.59999999999927</v>
      </c>
      <c r="BC11">
        <v>2.749090909090107</v>
      </c>
      <c r="BD11">
        <v>24.894545454545369</v>
      </c>
      <c r="BE11">
        <v>2.0618181818182268</v>
      </c>
      <c r="BF11">
        <v>9.8945454545455309</v>
      </c>
    </row>
    <row r="12" spans="1:58" x14ac:dyDescent="0.2">
      <c r="A12">
        <v>311</v>
      </c>
      <c r="B12">
        <v>25</v>
      </c>
      <c r="C12">
        <v>208.33333333333201</v>
      </c>
      <c r="D12">
        <v>250</v>
      </c>
      <c r="E12">
        <v>208.33333333333351</v>
      </c>
      <c r="F12">
        <f t="shared" si="0"/>
        <v>458.33333333333201</v>
      </c>
      <c r="G12">
        <f t="shared" si="0"/>
        <v>458.33333333333348</v>
      </c>
      <c r="H12">
        <v>666.66666666666549</v>
      </c>
      <c r="I12">
        <v>0.24999999999999839</v>
      </c>
      <c r="J12">
        <v>0.3</v>
      </c>
      <c r="K12">
        <v>0.25000000000000022</v>
      </c>
      <c r="L12">
        <f t="shared" si="1"/>
        <v>0.54999999999999838</v>
      </c>
      <c r="M12">
        <f t="shared" si="2"/>
        <v>0.55000000000000027</v>
      </c>
      <c r="N12">
        <v>0.7999999999999986</v>
      </c>
      <c r="O12">
        <f t="shared" si="3"/>
        <v>0.1999999999999984</v>
      </c>
      <c r="P12">
        <f t="shared" si="4"/>
        <v>4.9999999999999989E-2</v>
      </c>
      <c r="Q12">
        <f t="shared" si="5"/>
        <v>0.1499999999999998</v>
      </c>
      <c r="R12">
        <f t="shared" si="5"/>
        <v>0</v>
      </c>
      <c r="S12">
        <f t="shared" si="6"/>
        <v>0</v>
      </c>
      <c r="T12">
        <f t="shared" si="7"/>
        <v>0.2000000000000014</v>
      </c>
      <c r="U12">
        <f t="shared" si="8"/>
        <v>0.2828427124746189</v>
      </c>
      <c r="V12">
        <f t="shared" si="9"/>
        <v>0.25495097567963787</v>
      </c>
      <c r="W12">
        <f t="shared" si="10"/>
        <v>0.2000000000000014</v>
      </c>
      <c r="X12">
        <v>0</v>
      </c>
      <c r="Y12">
        <v>90</v>
      </c>
      <c r="Z12">
        <v>6</v>
      </c>
      <c r="AA12">
        <v>24</v>
      </c>
      <c r="AB12">
        <v>0</v>
      </c>
      <c r="AC12">
        <v>0</v>
      </c>
      <c r="AD12">
        <v>0</v>
      </c>
      <c r="AE12">
        <v>0</v>
      </c>
      <c r="AF12">
        <v>47.999999999996859</v>
      </c>
      <c r="AG12">
        <v>95.999999999999829</v>
      </c>
      <c r="AH12">
        <v>143.9999999999967</v>
      </c>
      <c r="AI12">
        <v>0</v>
      </c>
      <c r="AJ12">
        <v>57.599999999999753</v>
      </c>
      <c r="AK12">
        <v>12.000000000000011</v>
      </c>
      <c r="AL12">
        <v>8.0000000000001599</v>
      </c>
      <c r="AM12">
        <v>77.599999999999909</v>
      </c>
      <c r="AN12">
        <v>180</v>
      </c>
      <c r="AO12">
        <v>0</v>
      </c>
      <c r="AP12">
        <v>38.399999999999679</v>
      </c>
      <c r="AQ12">
        <v>0</v>
      </c>
      <c r="AR12">
        <v>9.5999999999977366</v>
      </c>
      <c r="AS12">
        <v>-3.233758939637078E-12</v>
      </c>
      <c r="AT12">
        <v>33.599999999999838</v>
      </c>
      <c r="AU12">
        <v>14.4</v>
      </c>
      <c r="AV12">
        <v>0</v>
      </c>
      <c r="AW12">
        <v>47.999999999997407</v>
      </c>
      <c r="AX12">
        <v>47.999999999996597</v>
      </c>
      <c r="AY12">
        <v>47.999999999997009</v>
      </c>
      <c r="AZ12">
        <v>47.999999999997272</v>
      </c>
      <c r="BA12">
        <v>47.999999999996447</v>
      </c>
      <c r="BB12">
        <v>47.999999999996859</v>
      </c>
      <c r="BC12">
        <v>-1.616879469818539E-12</v>
      </c>
      <c r="BD12">
        <v>35.999999999999758</v>
      </c>
      <c r="BE12">
        <v>7.2</v>
      </c>
      <c r="BF12">
        <v>4.7999999999988683</v>
      </c>
    </row>
    <row r="13" spans="1:58" x14ac:dyDescent="0.2">
      <c r="A13">
        <v>311</v>
      </c>
      <c r="B13">
        <v>22.5</v>
      </c>
      <c r="C13">
        <v>208.3333333333315</v>
      </c>
      <c r="D13">
        <v>250</v>
      </c>
      <c r="E13">
        <v>208.33333333333351</v>
      </c>
      <c r="F13">
        <f t="shared" si="0"/>
        <v>458.3333333333315</v>
      </c>
      <c r="G13">
        <f t="shared" si="0"/>
        <v>458.33333333333348</v>
      </c>
      <c r="H13">
        <v>666.66666666666504</v>
      </c>
      <c r="I13">
        <v>0.27777777777777529</v>
      </c>
      <c r="J13">
        <v>0.33333333333333331</v>
      </c>
      <c r="K13">
        <v>0.27777777777777801</v>
      </c>
      <c r="L13">
        <f t="shared" si="1"/>
        <v>0.61111111111110861</v>
      </c>
      <c r="M13">
        <f t="shared" si="2"/>
        <v>0.61111111111111138</v>
      </c>
      <c r="N13">
        <v>0.88888888888888673</v>
      </c>
      <c r="O13">
        <f t="shared" si="3"/>
        <v>0.17222222222222472</v>
      </c>
      <c r="P13">
        <f t="shared" si="4"/>
        <v>1.6666666666666663E-2</v>
      </c>
      <c r="Q13">
        <f t="shared" si="5"/>
        <v>0.12222222222222201</v>
      </c>
      <c r="R13">
        <f t="shared" si="5"/>
        <v>1.1111111111108629E-2</v>
      </c>
      <c r="S13">
        <f t="shared" si="6"/>
        <v>6.1111111111111338E-2</v>
      </c>
      <c r="T13">
        <f t="shared" si="7"/>
        <v>0.11111111111111327</v>
      </c>
      <c r="U13">
        <f t="shared" si="8"/>
        <v>0.20495407495218901</v>
      </c>
      <c r="V13">
        <f t="shared" si="9"/>
        <v>0.21184084405486434</v>
      </c>
      <c r="W13">
        <f t="shared" si="10"/>
        <v>0.12729376930433067</v>
      </c>
      <c r="X13">
        <v>0</v>
      </c>
      <c r="Y13">
        <v>19.2</v>
      </c>
      <c r="Z13">
        <v>76.8</v>
      </c>
      <c r="AA13">
        <v>108</v>
      </c>
      <c r="AB13">
        <v>0</v>
      </c>
      <c r="AC13">
        <v>0</v>
      </c>
      <c r="AD13">
        <v>0</v>
      </c>
      <c r="AE13">
        <v>0</v>
      </c>
      <c r="AF13">
        <v>50.666666666665769</v>
      </c>
      <c r="AG13">
        <v>106.6666666666664</v>
      </c>
      <c r="AH13">
        <v>157.33333333333221</v>
      </c>
      <c r="AI13">
        <v>41.55713580246892</v>
      </c>
      <c r="AJ13">
        <v>14.032592592592421</v>
      </c>
      <c r="AK13">
        <v>24.94597530864198</v>
      </c>
      <c r="AL13">
        <v>1.422222222222236</v>
      </c>
      <c r="AM13">
        <v>81.957925925925551</v>
      </c>
      <c r="AN13">
        <v>180</v>
      </c>
      <c r="AO13">
        <v>0</v>
      </c>
      <c r="AP13">
        <v>1.7066666666664081</v>
      </c>
      <c r="AQ13">
        <v>6.0266666666665207</v>
      </c>
      <c r="AR13">
        <v>2.1333333333326059</v>
      </c>
      <c r="AS13">
        <v>52.014222222221889</v>
      </c>
      <c r="AT13">
        <v>15.132444444444509</v>
      </c>
      <c r="AU13">
        <v>24.320000000000029</v>
      </c>
      <c r="AV13">
        <v>0</v>
      </c>
      <c r="AW13">
        <v>9.8666666666655338</v>
      </c>
      <c r="AX13">
        <v>91.466666666666427</v>
      </c>
      <c r="AY13">
        <v>50.666666666665982</v>
      </c>
      <c r="AZ13">
        <v>9.8666666666652389</v>
      </c>
      <c r="BA13">
        <v>91.466666666666299</v>
      </c>
      <c r="BB13">
        <v>50.666666666665769</v>
      </c>
      <c r="BC13">
        <v>26.007111111110941</v>
      </c>
      <c r="BD13">
        <v>8.4195555555554566</v>
      </c>
      <c r="BE13">
        <v>15.17333333333328</v>
      </c>
      <c r="BF13">
        <v>1.0666666666663029</v>
      </c>
    </row>
    <row r="14" spans="1:58" x14ac:dyDescent="0.2">
      <c r="A14">
        <v>311</v>
      </c>
      <c r="B14">
        <v>20</v>
      </c>
      <c r="C14">
        <v>208.3333333333315</v>
      </c>
      <c r="D14">
        <v>250</v>
      </c>
      <c r="E14">
        <v>208.33333333333351</v>
      </c>
      <c r="F14">
        <f t="shared" si="0"/>
        <v>458.3333333333315</v>
      </c>
      <c r="G14">
        <f t="shared" si="0"/>
        <v>458.33333333333348</v>
      </c>
      <c r="H14">
        <v>666.66666666666504</v>
      </c>
      <c r="I14">
        <v>0.31249999999999728</v>
      </c>
      <c r="J14">
        <v>0.375</v>
      </c>
      <c r="K14">
        <v>0.31250000000000028</v>
      </c>
      <c r="L14">
        <f t="shared" si="1"/>
        <v>0.68749999999999734</v>
      </c>
      <c r="M14">
        <f t="shared" si="2"/>
        <v>0.68750000000000022</v>
      </c>
      <c r="N14">
        <v>0.99999999999999756</v>
      </c>
      <c r="O14">
        <f t="shared" si="3"/>
        <v>0.13750000000000273</v>
      </c>
      <c r="P14">
        <f t="shared" si="4"/>
        <v>0</v>
      </c>
      <c r="Q14">
        <f t="shared" si="5"/>
        <v>8.7499999999999745E-2</v>
      </c>
      <c r="R14">
        <f t="shared" si="5"/>
        <v>8.7499999999997358E-2</v>
      </c>
      <c r="S14">
        <f t="shared" si="6"/>
        <v>0.13750000000000018</v>
      </c>
      <c r="T14">
        <f t="shared" si="7"/>
        <v>2.4424906541753444E-15</v>
      </c>
      <c r="U14">
        <f t="shared" si="8"/>
        <v>0.13750000000000273</v>
      </c>
      <c r="V14">
        <f t="shared" si="9"/>
        <v>0.16298006013006838</v>
      </c>
      <c r="W14">
        <f t="shared" si="10"/>
        <v>0.16298006013006494</v>
      </c>
      <c r="X14">
        <v>0</v>
      </c>
      <c r="Y14">
        <v>26.4</v>
      </c>
      <c r="Z14">
        <v>82.8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50.999999999999801</v>
      </c>
      <c r="AG14">
        <v>119.9999999999997</v>
      </c>
      <c r="AH14">
        <v>170.99999999999949</v>
      </c>
      <c r="AI14">
        <v>44.742749999999887</v>
      </c>
      <c r="AJ14">
        <v>13.0975</v>
      </c>
      <c r="AK14">
        <v>25.6000000000003</v>
      </c>
      <c r="AL14">
        <v>0.25000000000002842</v>
      </c>
      <c r="AM14">
        <v>83.690250000000219</v>
      </c>
      <c r="AN14">
        <v>180</v>
      </c>
      <c r="AO14">
        <v>0</v>
      </c>
      <c r="AP14">
        <v>0</v>
      </c>
      <c r="AQ14">
        <v>0.3000000000003234</v>
      </c>
      <c r="AR14">
        <v>0.29999999999967658</v>
      </c>
      <c r="AS14">
        <v>55.263000000000297</v>
      </c>
      <c r="AT14">
        <v>15.71699999999991</v>
      </c>
      <c r="AU14">
        <v>30.42000000000003</v>
      </c>
      <c r="AV14">
        <v>0</v>
      </c>
      <c r="AW14">
        <v>0.60000000000000009</v>
      </c>
      <c r="AX14">
        <v>101.4000000000002</v>
      </c>
      <c r="AY14">
        <v>51.000000000000121</v>
      </c>
      <c r="AZ14">
        <v>0.59999999999996589</v>
      </c>
      <c r="BA14">
        <v>101.39999999999959</v>
      </c>
      <c r="BB14">
        <v>50.999999999999801</v>
      </c>
      <c r="BC14">
        <v>27.631500000000148</v>
      </c>
      <c r="BD14">
        <v>7.8584999999999532</v>
      </c>
      <c r="BE14">
        <v>15.360000000000181</v>
      </c>
      <c r="BF14">
        <v>0.14999999999983829</v>
      </c>
    </row>
    <row r="15" spans="1:58" x14ac:dyDescent="0.2">
      <c r="A15">
        <v>312</v>
      </c>
      <c r="B15">
        <v>50</v>
      </c>
      <c r="C15">
        <v>291.66666666666669</v>
      </c>
      <c r="D15">
        <v>250</v>
      </c>
      <c r="E15">
        <v>291.66666666666669</v>
      </c>
      <c r="F15">
        <f t="shared" si="0"/>
        <v>541.66666666666674</v>
      </c>
      <c r="G15">
        <f t="shared" si="0"/>
        <v>541.66666666666674</v>
      </c>
      <c r="H15">
        <v>833.33333333333348</v>
      </c>
      <c r="I15">
        <v>0.17499999999999999</v>
      </c>
      <c r="J15">
        <v>0.15</v>
      </c>
      <c r="K15">
        <v>0.17499999999999999</v>
      </c>
      <c r="L15">
        <f t="shared" si="1"/>
        <v>0.32499999999999996</v>
      </c>
      <c r="M15">
        <f t="shared" si="2"/>
        <v>0.32499999999999996</v>
      </c>
      <c r="N15">
        <v>0.5</v>
      </c>
      <c r="O15">
        <f t="shared" si="3"/>
        <v>0.12499999999999999</v>
      </c>
      <c r="P15">
        <f t="shared" si="4"/>
        <v>0</v>
      </c>
      <c r="Q15">
        <f t="shared" si="5"/>
        <v>7.4999999999999983E-2</v>
      </c>
      <c r="R15">
        <f t="shared" si="5"/>
        <v>7.5000000000000067E-2</v>
      </c>
      <c r="S15">
        <f t="shared" si="6"/>
        <v>0.12500000000000006</v>
      </c>
      <c r="T15">
        <f t="shared" si="7"/>
        <v>0</v>
      </c>
      <c r="U15">
        <f t="shared" si="8"/>
        <v>0.12499999999999999</v>
      </c>
      <c r="V15">
        <f t="shared" si="9"/>
        <v>0.1457737973711325</v>
      </c>
      <c r="W15">
        <f t="shared" si="10"/>
        <v>0.14577379737113261</v>
      </c>
      <c r="X15">
        <v>0</v>
      </c>
      <c r="Y15">
        <v>7.1999999999999993</v>
      </c>
      <c r="Z15">
        <v>27.6</v>
      </c>
      <c r="AA15">
        <v>58.8</v>
      </c>
      <c r="AB15">
        <v>0</v>
      </c>
      <c r="AC15">
        <v>0</v>
      </c>
      <c r="AD15">
        <v>0</v>
      </c>
      <c r="AE15">
        <v>0</v>
      </c>
      <c r="AF15">
        <v>29.999999999999751</v>
      </c>
      <c r="AG15">
        <v>60</v>
      </c>
      <c r="AH15">
        <v>89.999999999999758</v>
      </c>
      <c r="AI15">
        <v>20.914999999999981</v>
      </c>
      <c r="AJ15">
        <v>14.185000000000009</v>
      </c>
      <c r="AK15">
        <v>14.16</v>
      </c>
      <c r="AL15">
        <v>0.64300000000001556</v>
      </c>
      <c r="AM15">
        <v>49.902999999999992</v>
      </c>
      <c r="AN15">
        <v>180</v>
      </c>
      <c r="AO15">
        <v>0</v>
      </c>
      <c r="AP15">
        <v>1.440000000000065</v>
      </c>
      <c r="AQ15">
        <v>7.1999999999954725E-2</v>
      </c>
      <c r="AR15">
        <v>0.88799999999981893</v>
      </c>
      <c r="AS15">
        <v>25.097999999999999</v>
      </c>
      <c r="AT15">
        <v>15.581999999999891</v>
      </c>
      <c r="AU15">
        <v>16.919999999999789</v>
      </c>
      <c r="AV15">
        <v>0</v>
      </c>
      <c r="AW15">
        <v>2.3999999999998392</v>
      </c>
      <c r="AX15">
        <v>57.599999999999682</v>
      </c>
      <c r="AY15">
        <v>29.999999999999758</v>
      </c>
      <c r="AZ15">
        <v>2.399999999999757</v>
      </c>
      <c r="BA15">
        <v>57.599999999999753</v>
      </c>
      <c r="BB15">
        <v>29.999999999999751</v>
      </c>
      <c r="BC15">
        <v>12.548999999999999</v>
      </c>
      <c r="BD15">
        <v>8.5109999999999779</v>
      </c>
      <c r="BE15">
        <v>8.4959999999998708</v>
      </c>
      <c r="BF15">
        <v>0.44399999999990952</v>
      </c>
    </row>
    <row r="16" spans="1:58" x14ac:dyDescent="0.2">
      <c r="A16">
        <v>312</v>
      </c>
      <c r="B16">
        <v>47.5</v>
      </c>
      <c r="C16">
        <v>291.66666666666669</v>
      </c>
      <c r="D16">
        <v>250</v>
      </c>
      <c r="E16">
        <v>291.66666666666669</v>
      </c>
      <c r="F16">
        <f t="shared" si="0"/>
        <v>541.66666666666674</v>
      </c>
      <c r="G16">
        <f t="shared" si="0"/>
        <v>541.66666666666674</v>
      </c>
      <c r="H16">
        <v>833.33333333333348</v>
      </c>
      <c r="I16">
        <v>0.18421052631578949</v>
      </c>
      <c r="J16">
        <v>0.15789473684210531</v>
      </c>
      <c r="K16">
        <v>0.18421052631578949</v>
      </c>
      <c r="L16">
        <f t="shared" si="1"/>
        <v>0.3421052631578948</v>
      </c>
      <c r="M16">
        <f t="shared" si="2"/>
        <v>0.3421052631578948</v>
      </c>
      <c r="N16">
        <v>0.52631578947368429</v>
      </c>
      <c r="O16">
        <f t="shared" si="3"/>
        <v>0.1342105263157895</v>
      </c>
      <c r="P16">
        <f t="shared" si="4"/>
        <v>7.8947368421053155E-3</v>
      </c>
      <c r="Q16">
        <f t="shared" si="5"/>
        <v>8.4210526315789486E-2</v>
      </c>
      <c r="R16">
        <f t="shared" si="5"/>
        <v>5.7894736842105221E-2</v>
      </c>
      <c r="S16">
        <f t="shared" si="6"/>
        <v>0.10789473684210521</v>
      </c>
      <c r="T16">
        <f t="shared" si="7"/>
        <v>2.6315789473684292E-2</v>
      </c>
      <c r="U16">
        <f t="shared" si="8"/>
        <v>0.13676617326511881</v>
      </c>
      <c r="V16">
        <f t="shared" si="9"/>
        <v>0.15863859866422672</v>
      </c>
      <c r="W16">
        <f t="shared" si="10"/>
        <v>0.12524214772937672</v>
      </c>
      <c r="X16">
        <v>0</v>
      </c>
      <c r="Y16">
        <v>108</v>
      </c>
      <c r="Z16">
        <v>66</v>
      </c>
      <c r="AA16">
        <v>66</v>
      </c>
      <c r="AB16">
        <v>0</v>
      </c>
      <c r="AC16">
        <v>0</v>
      </c>
      <c r="AD16">
        <v>0</v>
      </c>
      <c r="AE16">
        <v>0</v>
      </c>
      <c r="AF16">
        <v>29.05263157894677</v>
      </c>
      <c r="AG16">
        <v>63.15789473684211</v>
      </c>
      <c r="AH16">
        <v>92.210526315788883</v>
      </c>
      <c r="AI16">
        <v>8.4210526315789309</v>
      </c>
      <c r="AJ16">
        <v>15.52631578947368</v>
      </c>
      <c r="AK16">
        <v>13.13019390581715</v>
      </c>
      <c r="AL16">
        <v>11.34349030470916</v>
      </c>
      <c r="AM16">
        <v>48.421052631578917</v>
      </c>
      <c r="AN16">
        <v>180</v>
      </c>
      <c r="AO16">
        <v>0</v>
      </c>
      <c r="AP16">
        <v>17.68421052631578</v>
      </c>
      <c r="AQ16">
        <v>15.75623268698053</v>
      </c>
      <c r="AR16">
        <v>13.612188365650621</v>
      </c>
      <c r="AS16">
        <v>10.10526315789474</v>
      </c>
      <c r="AT16">
        <v>0.94736842105275076</v>
      </c>
      <c r="AU16">
        <v>0</v>
      </c>
      <c r="AV16">
        <v>0</v>
      </c>
      <c r="AW16">
        <v>47.052631578946929</v>
      </c>
      <c r="AX16">
        <v>11.052631578947491</v>
      </c>
      <c r="AY16">
        <v>29.05263157894721</v>
      </c>
      <c r="AZ16">
        <v>47.052631578946396</v>
      </c>
      <c r="BA16">
        <v>11.05263157894713</v>
      </c>
      <c r="BB16">
        <v>29.05263157894677</v>
      </c>
      <c r="BC16">
        <v>5.0526315789473708</v>
      </c>
      <c r="BD16">
        <v>9.3157894736842639</v>
      </c>
      <c r="BE16">
        <v>7.8781163434902632</v>
      </c>
      <c r="BF16">
        <v>6.8060941828253112</v>
      </c>
    </row>
    <row r="17" spans="1:58" x14ac:dyDescent="0.2">
      <c r="A17">
        <v>312</v>
      </c>
      <c r="B17">
        <v>45</v>
      </c>
      <c r="C17">
        <v>291.66666666666669</v>
      </c>
      <c r="D17">
        <v>250</v>
      </c>
      <c r="E17">
        <v>291.66666666666669</v>
      </c>
      <c r="F17">
        <f t="shared" si="0"/>
        <v>541.66666666666674</v>
      </c>
      <c r="G17">
        <f t="shared" si="0"/>
        <v>541.66666666666674</v>
      </c>
      <c r="H17">
        <v>833.33333333333348</v>
      </c>
      <c r="I17">
        <v>0.19444444444444439</v>
      </c>
      <c r="J17">
        <v>0.16666666666666671</v>
      </c>
      <c r="K17">
        <v>0.19444444444444439</v>
      </c>
      <c r="L17">
        <f t="shared" si="1"/>
        <v>0.3611111111111111</v>
      </c>
      <c r="M17">
        <f t="shared" si="2"/>
        <v>0.3611111111111111</v>
      </c>
      <c r="N17">
        <v>0.55555555555555558</v>
      </c>
      <c r="O17">
        <f t="shared" si="3"/>
        <v>0.14444444444444438</v>
      </c>
      <c r="P17">
        <f t="shared" si="4"/>
        <v>1.6666666666666718E-2</v>
      </c>
      <c r="Q17">
        <f t="shared" si="5"/>
        <v>9.4444444444444386E-2</v>
      </c>
      <c r="R17">
        <f t="shared" si="5"/>
        <v>3.8888888888888917E-2</v>
      </c>
      <c r="S17">
        <f t="shared" si="6"/>
        <v>8.8888888888888906E-2</v>
      </c>
      <c r="T17">
        <f t="shared" si="7"/>
        <v>5.555555555555558E-2</v>
      </c>
      <c r="U17">
        <f t="shared" si="8"/>
        <v>0.15475986974649017</v>
      </c>
      <c r="V17">
        <f t="shared" si="9"/>
        <v>0.17338318371474698</v>
      </c>
      <c r="W17">
        <f t="shared" si="10"/>
        <v>0.11180339887498952</v>
      </c>
      <c r="X17">
        <v>0</v>
      </c>
      <c r="Y17">
        <v>0</v>
      </c>
      <c r="Z17">
        <v>30</v>
      </c>
      <c r="AA17">
        <v>52.8</v>
      </c>
      <c r="AB17">
        <v>0</v>
      </c>
      <c r="AC17">
        <v>0</v>
      </c>
      <c r="AD17">
        <v>0</v>
      </c>
      <c r="AE17">
        <v>0</v>
      </c>
      <c r="AF17">
        <v>30.666666666666579</v>
      </c>
      <c r="AG17">
        <v>66.666666666666671</v>
      </c>
      <c r="AH17">
        <v>97.333333333333258</v>
      </c>
      <c r="AI17">
        <v>15.747407407407421</v>
      </c>
      <c r="AJ17">
        <v>20.252641975308631</v>
      </c>
      <c r="AK17">
        <v>12.640740740740741</v>
      </c>
      <c r="AL17">
        <v>2.4259259259259291</v>
      </c>
      <c r="AM17">
        <v>51.066716049382713</v>
      </c>
      <c r="AN17">
        <v>180</v>
      </c>
      <c r="AO17">
        <v>0</v>
      </c>
      <c r="AP17">
        <v>9.0666666666665865</v>
      </c>
      <c r="AQ17">
        <v>1.8888888888889701</v>
      </c>
      <c r="AR17">
        <v>2.911111111111353</v>
      </c>
      <c r="AS17">
        <v>18.933333333333248</v>
      </c>
      <c r="AT17">
        <v>15.253333333333369</v>
      </c>
      <c r="AU17">
        <v>13.280000000000051</v>
      </c>
      <c r="AV17">
        <v>0</v>
      </c>
      <c r="AW17">
        <v>13.866666666666911</v>
      </c>
      <c r="AX17">
        <v>47.466666666666669</v>
      </c>
      <c r="AY17">
        <v>30.666666666666789</v>
      </c>
      <c r="AZ17">
        <v>13.86666666666666</v>
      </c>
      <c r="BA17">
        <v>47.466666666666498</v>
      </c>
      <c r="BB17">
        <v>30.666666666666579</v>
      </c>
      <c r="BC17">
        <v>9.4666666666666259</v>
      </c>
      <c r="BD17">
        <v>12.159999999999981</v>
      </c>
      <c r="BE17">
        <v>7.5844444444445092</v>
      </c>
      <c r="BF17">
        <v>1.4555555555556769</v>
      </c>
    </row>
    <row r="18" spans="1:58" x14ac:dyDescent="0.2">
      <c r="A18">
        <v>312</v>
      </c>
      <c r="B18">
        <v>42.5</v>
      </c>
      <c r="C18">
        <v>291.66666666666669</v>
      </c>
      <c r="D18">
        <v>250</v>
      </c>
      <c r="E18">
        <v>291.66666666666669</v>
      </c>
      <c r="F18">
        <f t="shared" si="0"/>
        <v>541.66666666666674</v>
      </c>
      <c r="G18">
        <f t="shared" si="0"/>
        <v>541.66666666666674</v>
      </c>
      <c r="H18">
        <v>833.33333333333348</v>
      </c>
      <c r="I18">
        <v>0.20588235294117649</v>
      </c>
      <c r="J18">
        <v>0.1764705882352941</v>
      </c>
      <c r="K18">
        <v>0.20588235294117649</v>
      </c>
      <c r="L18">
        <f t="shared" si="1"/>
        <v>0.38235294117647056</v>
      </c>
      <c r="M18">
        <f t="shared" si="2"/>
        <v>0.38235294117647056</v>
      </c>
      <c r="N18">
        <v>0.58823529411764697</v>
      </c>
      <c r="O18">
        <f t="shared" si="3"/>
        <v>0.15588235294117647</v>
      </c>
      <c r="P18">
        <f t="shared" si="4"/>
        <v>2.6470588235294107E-2</v>
      </c>
      <c r="Q18">
        <f t="shared" si="5"/>
        <v>0.10588235294117648</v>
      </c>
      <c r="R18">
        <f t="shared" si="5"/>
        <v>1.764705882352946E-2</v>
      </c>
      <c r="S18">
        <f t="shared" si="6"/>
        <v>6.7647058823529449E-2</v>
      </c>
      <c r="T18">
        <f t="shared" si="7"/>
        <v>8.8235294117646967E-2</v>
      </c>
      <c r="U18">
        <f t="shared" si="8"/>
        <v>0.17912223504217775</v>
      </c>
      <c r="V18">
        <f t="shared" si="9"/>
        <v>0.19029207199555073</v>
      </c>
      <c r="W18">
        <f t="shared" si="10"/>
        <v>0.11257446593532136</v>
      </c>
      <c r="X18">
        <v>0</v>
      </c>
      <c r="Y18">
        <v>8.4</v>
      </c>
      <c r="Z18">
        <v>28.8</v>
      </c>
      <c r="AA18">
        <v>64.8</v>
      </c>
      <c r="AB18">
        <v>0</v>
      </c>
      <c r="AC18">
        <v>0</v>
      </c>
      <c r="AD18">
        <v>0</v>
      </c>
      <c r="AE18">
        <v>0</v>
      </c>
      <c r="AF18">
        <v>34.588235294117503</v>
      </c>
      <c r="AG18">
        <v>70.588235294117652</v>
      </c>
      <c r="AH18">
        <v>105.1764705882352</v>
      </c>
      <c r="AI18">
        <v>21.84390311418684</v>
      </c>
      <c r="AJ18">
        <v>14.417024221453291</v>
      </c>
      <c r="AK18">
        <v>18.352941176470591</v>
      </c>
      <c r="AL18">
        <v>1.952941176470584</v>
      </c>
      <c r="AM18">
        <v>56.566809688581309</v>
      </c>
      <c r="AN18">
        <v>180</v>
      </c>
      <c r="AO18">
        <v>0</v>
      </c>
      <c r="AP18">
        <v>3.4447058823530421</v>
      </c>
      <c r="AQ18">
        <v>0</v>
      </c>
      <c r="AR18">
        <v>2.3435294117646759</v>
      </c>
      <c r="AS18">
        <v>27.021176470588319</v>
      </c>
      <c r="AT18">
        <v>14.343529411764679</v>
      </c>
      <c r="AU18">
        <v>22.023529411764649</v>
      </c>
      <c r="AV18">
        <v>0</v>
      </c>
      <c r="AW18">
        <v>5.7882352941177189</v>
      </c>
      <c r="AX18">
        <v>63.388235294117642</v>
      </c>
      <c r="AY18">
        <v>34.58823529411768</v>
      </c>
      <c r="AZ18">
        <v>5.7882352941176256</v>
      </c>
      <c r="BA18">
        <v>63.388235294117379</v>
      </c>
      <c r="BB18">
        <v>34.588235294117503</v>
      </c>
      <c r="BC18">
        <v>13.51058823529416</v>
      </c>
      <c r="BD18">
        <v>8.8941176470588594</v>
      </c>
      <c r="BE18">
        <v>11.011764705882319</v>
      </c>
      <c r="BF18">
        <v>1.1717647058823379</v>
      </c>
    </row>
    <row r="19" spans="1:58" x14ac:dyDescent="0.2">
      <c r="A19">
        <v>312</v>
      </c>
      <c r="B19">
        <v>40</v>
      </c>
      <c r="C19">
        <v>291.66666666666669</v>
      </c>
      <c r="D19">
        <v>250</v>
      </c>
      <c r="E19">
        <v>291.66666666666669</v>
      </c>
      <c r="F19">
        <f t="shared" si="0"/>
        <v>541.66666666666674</v>
      </c>
      <c r="G19">
        <f t="shared" si="0"/>
        <v>541.66666666666674</v>
      </c>
      <c r="H19">
        <v>833.33333333333348</v>
      </c>
      <c r="I19">
        <v>0.21875</v>
      </c>
      <c r="J19">
        <v>0.1875</v>
      </c>
      <c r="K19">
        <v>0.21875</v>
      </c>
      <c r="L19">
        <f t="shared" si="1"/>
        <v>0.40625</v>
      </c>
      <c r="M19">
        <f t="shared" si="2"/>
        <v>0.40625</v>
      </c>
      <c r="N19">
        <v>0.625</v>
      </c>
      <c r="O19">
        <f t="shared" si="3"/>
        <v>0.16875000000000001</v>
      </c>
      <c r="P19">
        <f t="shared" si="4"/>
        <v>3.7500000000000006E-2</v>
      </c>
      <c r="Q19">
        <f t="shared" si="5"/>
        <v>0.11874999999999999</v>
      </c>
      <c r="R19">
        <f t="shared" si="5"/>
        <v>0</v>
      </c>
      <c r="S19">
        <f t="shared" si="6"/>
        <v>4.3750000000000011E-2</v>
      </c>
      <c r="T19">
        <f t="shared" si="7"/>
        <v>0.125</v>
      </c>
      <c r="U19">
        <f t="shared" si="8"/>
        <v>0.21000372020514305</v>
      </c>
      <c r="V19">
        <f t="shared" si="9"/>
        <v>0.20972452169453148</v>
      </c>
      <c r="W19">
        <f t="shared" si="10"/>
        <v>0.13243512562760681</v>
      </c>
      <c r="X19">
        <v>0</v>
      </c>
      <c r="Y19">
        <v>117.6</v>
      </c>
      <c r="Z19">
        <v>25.2</v>
      </c>
      <c r="AA19">
        <v>46.8</v>
      </c>
      <c r="AB19">
        <v>0</v>
      </c>
      <c r="AC19">
        <v>0</v>
      </c>
      <c r="AD19">
        <v>0</v>
      </c>
      <c r="AE19">
        <v>0</v>
      </c>
      <c r="AF19">
        <v>38.999999999999758</v>
      </c>
      <c r="AG19">
        <v>75</v>
      </c>
      <c r="AH19">
        <v>113.9999999999998</v>
      </c>
      <c r="AI19">
        <v>15.781375000000009</v>
      </c>
      <c r="AJ19">
        <v>24.254187499999968</v>
      </c>
      <c r="AK19">
        <v>13.10437499999999</v>
      </c>
      <c r="AL19">
        <v>11.220625000000011</v>
      </c>
      <c r="AM19">
        <v>64.360562499999972</v>
      </c>
      <c r="AN19">
        <v>180</v>
      </c>
      <c r="AO19">
        <v>0</v>
      </c>
      <c r="AP19">
        <v>13.319999999999951</v>
      </c>
      <c r="AQ19">
        <v>1.415249999999812</v>
      </c>
      <c r="AR19">
        <v>13.46475000000015</v>
      </c>
      <c r="AS19">
        <v>19.469999999999871</v>
      </c>
      <c r="AT19">
        <v>16.02000000000027</v>
      </c>
      <c r="AU19">
        <v>14.30999999999985</v>
      </c>
      <c r="AV19">
        <v>0</v>
      </c>
      <c r="AW19">
        <v>28.199999999999921</v>
      </c>
      <c r="AX19">
        <v>49.8</v>
      </c>
      <c r="AY19">
        <v>38.999999999999957</v>
      </c>
      <c r="AZ19">
        <v>28.199999999999921</v>
      </c>
      <c r="BA19">
        <v>49.799999999999599</v>
      </c>
      <c r="BB19">
        <v>38.999999999999758</v>
      </c>
      <c r="BC19">
        <v>9.7349999999999355</v>
      </c>
      <c r="BD19">
        <v>14.67000000000011</v>
      </c>
      <c r="BE19">
        <v>7.8626249999998334</v>
      </c>
      <c r="BF19">
        <v>6.7323750000000766</v>
      </c>
    </row>
    <row r="20" spans="1:58" x14ac:dyDescent="0.2">
      <c r="A20">
        <v>312</v>
      </c>
      <c r="B20">
        <v>37.5</v>
      </c>
      <c r="C20">
        <v>291.66666666666669</v>
      </c>
      <c r="D20">
        <v>250</v>
      </c>
      <c r="E20">
        <v>291.66666666666669</v>
      </c>
      <c r="F20">
        <f t="shared" si="0"/>
        <v>541.66666666666674</v>
      </c>
      <c r="G20">
        <f t="shared" si="0"/>
        <v>541.66666666666674</v>
      </c>
      <c r="H20">
        <v>833.33333333333348</v>
      </c>
      <c r="I20">
        <v>0.23333333333333331</v>
      </c>
      <c r="J20">
        <v>0.2</v>
      </c>
      <c r="K20">
        <v>0.23333333333333331</v>
      </c>
      <c r="L20">
        <f t="shared" si="1"/>
        <v>0.43333333333333335</v>
      </c>
      <c r="M20">
        <f t="shared" si="2"/>
        <v>0.43333333333333335</v>
      </c>
      <c r="N20">
        <v>0.66666666666666674</v>
      </c>
      <c r="O20">
        <f t="shared" si="3"/>
        <v>0.18333333333333329</v>
      </c>
      <c r="P20">
        <f t="shared" si="4"/>
        <v>5.0000000000000017E-2</v>
      </c>
      <c r="Q20">
        <f t="shared" si="5"/>
        <v>0.1333333333333333</v>
      </c>
      <c r="R20">
        <f t="shared" si="5"/>
        <v>0</v>
      </c>
      <c r="S20">
        <f t="shared" si="6"/>
        <v>1.6666666666666663E-2</v>
      </c>
      <c r="T20">
        <f t="shared" si="7"/>
        <v>0.16666666666666674</v>
      </c>
      <c r="U20">
        <f t="shared" si="8"/>
        <v>0.24776781245530846</v>
      </c>
      <c r="V20">
        <f t="shared" si="9"/>
        <v>0.2321398046197353</v>
      </c>
      <c r="W20">
        <f t="shared" si="10"/>
        <v>0.16749792701868157</v>
      </c>
      <c r="X20">
        <v>0</v>
      </c>
      <c r="Y20">
        <v>1.2</v>
      </c>
      <c r="Z20">
        <v>20.399999999999999</v>
      </c>
      <c r="AA20">
        <v>46.8</v>
      </c>
      <c r="AB20">
        <v>0</v>
      </c>
      <c r="AC20">
        <v>0</v>
      </c>
      <c r="AD20">
        <v>0</v>
      </c>
      <c r="AE20">
        <v>0</v>
      </c>
      <c r="AF20">
        <v>43.999999999999751</v>
      </c>
      <c r="AG20">
        <v>80</v>
      </c>
      <c r="AH20">
        <v>123.9999999999997</v>
      </c>
      <c r="AI20">
        <v>19.434666666666651</v>
      </c>
      <c r="AJ20">
        <v>20.668444444444411</v>
      </c>
      <c r="AK20">
        <v>15.2</v>
      </c>
      <c r="AL20">
        <v>17.8</v>
      </c>
      <c r="AM20">
        <v>73.103111111111062</v>
      </c>
      <c r="AN20">
        <v>180</v>
      </c>
      <c r="AO20">
        <v>0</v>
      </c>
      <c r="AP20">
        <v>11.83999999999998</v>
      </c>
      <c r="AQ20">
        <v>0</v>
      </c>
      <c r="AR20">
        <v>21.360000000000099</v>
      </c>
      <c r="AS20">
        <v>23.439999999999898</v>
      </c>
      <c r="AT20">
        <v>13.11999999999987</v>
      </c>
      <c r="AU20">
        <v>18.239999999999899</v>
      </c>
      <c r="AV20">
        <v>0</v>
      </c>
      <c r="AW20">
        <v>33.200000000000081</v>
      </c>
      <c r="AX20">
        <v>54.79999999999967</v>
      </c>
      <c r="AY20">
        <v>43.999999999999872</v>
      </c>
      <c r="AZ20">
        <v>33.199999999999918</v>
      </c>
      <c r="BA20">
        <v>54.799999999999592</v>
      </c>
      <c r="BB20">
        <v>43.999999999999751</v>
      </c>
      <c r="BC20">
        <v>11.719999999999949</v>
      </c>
      <c r="BD20">
        <v>12.479999999999929</v>
      </c>
      <c r="BE20">
        <v>9.1199999999999513</v>
      </c>
      <c r="BF20">
        <v>10.680000000000049</v>
      </c>
    </row>
    <row r="21" spans="1:58" x14ac:dyDescent="0.2">
      <c r="A21">
        <v>312</v>
      </c>
      <c r="B21">
        <v>35</v>
      </c>
      <c r="C21">
        <v>291.66666666666669</v>
      </c>
      <c r="D21">
        <v>250</v>
      </c>
      <c r="E21">
        <v>291.66666666666669</v>
      </c>
      <c r="F21">
        <f t="shared" si="0"/>
        <v>541.66666666666674</v>
      </c>
      <c r="G21">
        <f t="shared" si="0"/>
        <v>541.66666666666674</v>
      </c>
      <c r="H21">
        <v>833.33333333333348</v>
      </c>
      <c r="I21">
        <v>0.25</v>
      </c>
      <c r="J21">
        <v>0.2142857142857143</v>
      </c>
      <c r="K21">
        <v>0.25</v>
      </c>
      <c r="L21">
        <f t="shared" si="1"/>
        <v>0.4642857142857143</v>
      </c>
      <c r="M21">
        <f t="shared" si="2"/>
        <v>0.4642857142857143</v>
      </c>
      <c r="N21">
        <v>0.7142857142857143</v>
      </c>
      <c r="O21">
        <f t="shared" si="3"/>
        <v>0.2</v>
      </c>
      <c r="P21">
        <f t="shared" si="4"/>
        <v>6.4285714285714307E-2</v>
      </c>
      <c r="Q21">
        <f t="shared" si="5"/>
        <v>0.15</v>
      </c>
      <c r="R21">
        <f t="shared" si="5"/>
        <v>0</v>
      </c>
      <c r="S21">
        <f t="shared" si="6"/>
        <v>0</v>
      </c>
      <c r="T21">
        <f t="shared" si="7"/>
        <v>0.2142857142857143</v>
      </c>
      <c r="U21">
        <f t="shared" si="8"/>
        <v>0.29311835040975992</v>
      </c>
      <c r="V21">
        <f t="shared" si="9"/>
        <v>0.25813301427989505</v>
      </c>
      <c r="W21">
        <f t="shared" si="10"/>
        <v>0.2142857142857143</v>
      </c>
      <c r="X21">
        <v>0</v>
      </c>
      <c r="Y21">
        <v>102</v>
      </c>
      <c r="Z21">
        <v>8.4</v>
      </c>
      <c r="AA21">
        <v>14.4</v>
      </c>
      <c r="AB21">
        <v>0</v>
      </c>
      <c r="AC21">
        <v>0</v>
      </c>
      <c r="AD21">
        <v>0</v>
      </c>
      <c r="AE21">
        <v>0</v>
      </c>
      <c r="AF21">
        <v>46.285714285714043</v>
      </c>
      <c r="AG21">
        <v>85.714285714285722</v>
      </c>
      <c r="AH21">
        <v>131.9999999999998</v>
      </c>
      <c r="AI21">
        <v>9.3142857142857185</v>
      </c>
      <c r="AJ21">
        <v>45.257142857142853</v>
      </c>
      <c r="AK21">
        <v>6.3428571428571381</v>
      </c>
      <c r="AL21">
        <v>16.228571428571431</v>
      </c>
      <c r="AM21">
        <v>77.142857142857139</v>
      </c>
      <c r="AN21">
        <v>180</v>
      </c>
      <c r="AO21">
        <v>0</v>
      </c>
      <c r="AP21">
        <v>28.8</v>
      </c>
      <c r="AQ21">
        <v>0.41142857142840511</v>
      </c>
      <c r="AR21">
        <v>19.47428571428593</v>
      </c>
      <c r="AS21">
        <v>11.17714285714287</v>
      </c>
      <c r="AT21">
        <v>25.508571428571461</v>
      </c>
      <c r="AU21">
        <v>7.1999999999998394</v>
      </c>
      <c r="AV21">
        <v>0</v>
      </c>
      <c r="AW21">
        <v>48.685714285714333</v>
      </c>
      <c r="AX21">
        <v>43.885714285714172</v>
      </c>
      <c r="AY21">
        <v>46.285714285714249</v>
      </c>
      <c r="AZ21">
        <v>48.685714285713942</v>
      </c>
      <c r="BA21">
        <v>43.88571428571413</v>
      </c>
      <c r="BB21">
        <v>46.285714285714043</v>
      </c>
      <c r="BC21">
        <v>5.5885714285714334</v>
      </c>
      <c r="BD21">
        <v>27.154285714285731</v>
      </c>
      <c r="BE21">
        <v>3.8057142857141222</v>
      </c>
      <c r="BF21">
        <v>9.7371428571429632</v>
      </c>
    </row>
    <row r="22" spans="1:58" x14ac:dyDescent="0.2">
      <c r="A22">
        <v>312</v>
      </c>
      <c r="B22">
        <v>32.5</v>
      </c>
      <c r="C22">
        <v>291.66666666666669</v>
      </c>
      <c r="D22">
        <v>250</v>
      </c>
      <c r="E22">
        <v>291.66666666666669</v>
      </c>
      <c r="F22">
        <f t="shared" si="0"/>
        <v>541.66666666666674</v>
      </c>
      <c r="G22">
        <f t="shared" si="0"/>
        <v>541.66666666666674</v>
      </c>
      <c r="H22">
        <v>833.33333333333348</v>
      </c>
      <c r="I22">
        <v>0.26923076923076927</v>
      </c>
      <c r="J22">
        <v>0.23076923076923081</v>
      </c>
      <c r="K22">
        <v>0.26923076923076927</v>
      </c>
      <c r="L22">
        <f t="shared" si="1"/>
        <v>0.50000000000000011</v>
      </c>
      <c r="M22">
        <f t="shared" si="2"/>
        <v>0.50000000000000011</v>
      </c>
      <c r="N22">
        <v>0.76923076923076927</v>
      </c>
      <c r="O22">
        <f t="shared" si="3"/>
        <v>0.18076923076923074</v>
      </c>
      <c r="P22">
        <f t="shared" si="4"/>
        <v>8.0769230769230815E-2</v>
      </c>
      <c r="Q22">
        <f t="shared" si="5"/>
        <v>0.13076923076923075</v>
      </c>
      <c r="R22">
        <f t="shared" si="5"/>
        <v>0</v>
      </c>
      <c r="S22">
        <f t="shared" si="6"/>
        <v>0</v>
      </c>
      <c r="T22">
        <f t="shared" si="7"/>
        <v>0.23076923076923073</v>
      </c>
      <c r="U22">
        <f t="shared" si="8"/>
        <v>0.29314152326601883</v>
      </c>
      <c r="V22">
        <f t="shared" si="9"/>
        <v>0.23727995100287969</v>
      </c>
      <c r="W22">
        <f t="shared" si="10"/>
        <v>0.23076923076923073</v>
      </c>
      <c r="X22">
        <v>0</v>
      </c>
      <c r="Y22">
        <v>104.4</v>
      </c>
      <c r="Z22">
        <v>12</v>
      </c>
      <c r="AA22">
        <v>20.399999999999999</v>
      </c>
      <c r="AB22">
        <v>0</v>
      </c>
      <c r="AC22">
        <v>0</v>
      </c>
      <c r="AD22">
        <v>0</v>
      </c>
      <c r="AE22">
        <v>0</v>
      </c>
      <c r="AF22">
        <v>44.399999999999793</v>
      </c>
      <c r="AG22">
        <v>92.307692307692321</v>
      </c>
      <c r="AH22">
        <v>136.7076923076921</v>
      </c>
      <c r="AI22">
        <v>11.13846153846151</v>
      </c>
      <c r="AJ22">
        <v>38.369230769230782</v>
      </c>
      <c r="AK22">
        <v>8.353846153846149</v>
      </c>
      <c r="AL22">
        <v>16.13846153846151</v>
      </c>
      <c r="AM22">
        <v>73.999999999999957</v>
      </c>
      <c r="AN22">
        <v>180</v>
      </c>
      <c r="AO22">
        <v>0</v>
      </c>
      <c r="AP22">
        <v>28.726153846153871</v>
      </c>
      <c r="AQ22">
        <v>0</v>
      </c>
      <c r="AR22">
        <v>19.36615384615418</v>
      </c>
      <c r="AS22">
        <v>13.36615384615385</v>
      </c>
      <c r="AT22">
        <v>17.316923076922912</v>
      </c>
      <c r="AU22">
        <v>10.02461538461527</v>
      </c>
      <c r="AV22">
        <v>0</v>
      </c>
      <c r="AW22">
        <v>48.092307692308047</v>
      </c>
      <c r="AX22">
        <v>40.707692307692028</v>
      </c>
      <c r="AY22">
        <v>44.400000000000027</v>
      </c>
      <c r="AZ22">
        <v>48.092307692307678</v>
      </c>
      <c r="BA22">
        <v>40.7076923076919</v>
      </c>
      <c r="BB22">
        <v>44.399999999999793</v>
      </c>
      <c r="BC22">
        <v>6.6830769230769267</v>
      </c>
      <c r="BD22">
        <v>23.021538461538391</v>
      </c>
      <c r="BE22">
        <v>5.0123076923076342</v>
      </c>
      <c r="BF22">
        <v>9.6830769230770883</v>
      </c>
    </row>
    <row r="23" spans="1:58" x14ac:dyDescent="0.2">
      <c r="A23">
        <v>312</v>
      </c>
      <c r="B23">
        <v>30</v>
      </c>
      <c r="C23">
        <v>291.66666666666669</v>
      </c>
      <c r="D23">
        <v>250</v>
      </c>
      <c r="E23">
        <v>291.66666666666669</v>
      </c>
      <c r="F23">
        <f t="shared" si="0"/>
        <v>541.66666666666674</v>
      </c>
      <c r="G23">
        <f t="shared" si="0"/>
        <v>541.66666666666674</v>
      </c>
      <c r="H23">
        <v>833.33333333333348</v>
      </c>
      <c r="I23">
        <v>0.29166666666666669</v>
      </c>
      <c r="J23">
        <v>0.25</v>
      </c>
      <c r="K23">
        <v>0.29166666666666669</v>
      </c>
      <c r="L23">
        <f t="shared" si="1"/>
        <v>0.54166666666666674</v>
      </c>
      <c r="M23">
        <f t="shared" si="2"/>
        <v>0.54166666666666674</v>
      </c>
      <c r="N23">
        <v>0.83333333333333348</v>
      </c>
      <c r="O23">
        <f t="shared" si="3"/>
        <v>0.15833333333333333</v>
      </c>
      <c r="P23">
        <f t="shared" si="4"/>
        <v>9.9999999999999978E-2</v>
      </c>
      <c r="Q23">
        <f t="shared" si="5"/>
        <v>0.10833333333333334</v>
      </c>
      <c r="R23">
        <f t="shared" si="5"/>
        <v>0</v>
      </c>
      <c r="S23">
        <f t="shared" si="6"/>
        <v>0</v>
      </c>
      <c r="T23">
        <f t="shared" si="7"/>
        <v>0.16666666666666652</v>
      </c>
      <c r="U23">
        <f t="shared" si="8"/>
        <v>0.22988523706889524</v>
      </c>
      <c r="V23">
        <f t="shared" si="9"/>
        <v>0.21634591642911949</v>
      </c>
      <c r="W23">
        <f t="shared" si="10"/>
        <v>0.16666666666666652</v>
      </c>
      <c r="X23">
        <v>0</v>
      </c>
      <c r="Y23">
        <v>37.200000000000003</v>
      </c>
      <c r="Z23">
        <v>32.4</v>
      </c>
      <c r="AA23">
        <v>109.2</v>
      </c>
      <c r="AB23">
        <v>0</v>
      </c>
      <c r="AC23">
        <v>0</v>
      </c>
      <c r="AD23">
        <v>0</v>
      </c>
      <c r="AE23">
        <v>0</v>
      </c>
      <c r="AF23">
        <v>43.999999999999631</v>
      </c>
      <c r="AG23">
        <v>100</v>
      </c>
      <c r="AH23">
        <v>143.9999999999996</v>
      </c>
      <c r="AI23">
        <v>30.317333333333369</v>
      </c>
      <c r="AJ23">
        <v>10.633333333333329</v>
      </c>
      <c r="AK23">
        <v>12.233333333333331</v>
      </c>
      <c r="AL23">
        <v>16.957333333333349</v>
      </c>
      <c r="AM23">
        <v>70.141333333333364</v>
      </c>
      <c r="AN23">
        <v>180</v>
      </c>
      <c r="AO23">
        <v>0</v>
      </c>
      <c r="AP23">
        <v>2.2000000000000002</v>
      </c>
      <c r="AQ23">
        <v>6.4800000000001292</v>
      </c>
      <c r="AR23">
        <v>22.11999999999987</v>
      </c>
      <c r="AS23">
        <v>38.439999999999579</v>
      </c>
      <c r="AT23">
        <v>10.56000000000002</v>
      </c>
      <c r="AU23">
        <v>8.1999999999999194</v>
      </c>
      <c r="AV23">
        <v>0</v>
      </c>
      <c r="AW23">
        <v>30.8</v>
      </c>
      <c r="AX23">
        <v>57.199999999999513</v>
      </c>
      <c r="AY23">
        <v>43.999999999999758</v>
      </c>
      <c r="AZ23">
        <v>30.79999999999993</v>
      </c>
      <c r="BA23">
        <v>57.199999999999513</v>
      </c>
      <c r="BB23">
        <v>43.999999999999723</v>
      </c>
      <c r="BC23">
        <v>19.219999999999789</v>
      </c>
      <c r="BD23">
        <v>6.3800000000000079</v>
      </c>
      <c r="BE23">
        <v>7.3400000000000247</v>
      </c>
      <c r="BF23">
        <v>11.059999999999929</v>
      </c>
    </row>
    <row r="24" spans="1:58" x14ac:dyDescent="0.2">
      <c r="A24">
        <v>312</v>
      </c>
      <c r="B24">
        <v>27.5</v>
      </c>
      <c r="C24">
        <v>291.66666666666669</v>
      </c>
      <c r="D24">
        <v>250</v>
      </c>
      <c r="E24">
        <v>291.66666666666669</v>
      </c>
      <c r="F24">
        <f t="shared" si="0"/>
        <v>541.66666666666674</v>
      </c>
      <c r="G24">
        <f t="shared" si="0"/>
        <v>541.66666666666674</v>
      </c>
      <c r="H24">
        <v>833.33333333333348</v>
      </c>
      <c r="I24">
        <v>0.31818181818181818</v>
      </c>
      <c r="J24">
        <v>0.27272727272727282</v>
      </c>
      <c r="K24">
        <v>0.31818181818181818</v>
      </c>
      <c r="L24">
        <f t="shared" si="1"/>
        <v>0.59090909090909105</v>
      </c>
      <c r="M24">
        <f t="shared" si="2"/>
        <v>0.59090909090909105</v>
      </c>
      <c r="N24">
        <v>0.90909090909090928</v>
      </c>
      <c r="O24">
        <f t="shared" si="3"/>
        <v>0.13181818181818183</v>
      </c>
      <c r="P24">
        <f t="shared" si="4"/>
        <v>7.727272727272716E-2</v>
      </c>
      <c r="Q24">
        <f t="shared" si="5"/>
        <v>8.1818181818181845E-2</v>
      </c>
      <c r="R24">
        <f t="shared" si="5"/>
        <v>0</v>
      </c>
      <c r="S24">
        <f t="shared" si="6"/>
        <v>4.0909090909091006E-2</v>
      </c>
      <c r="T24">
        <f t="shared" si="7"/>
        <v>9.0909090909090717E-2</v>
      </c>
      <c r="U24">
        <f t="shared" si="8"/>
        <v>0.16012649958007752</v>
      </c>
      <c r="V24">
        <f t="shared" si="9"/>
        <v>0.17332432695397831</v>
      </c>
      <c r="W24">
        <f t="shared" si="10"/>
        <v>9.9689600906642181E-2</v>
      </c>
      <c r="X24">
        <v>0</v>
      </c>
      <c r="Y24">
        <v>43.2</v>
      </c>
      <c r="Z24">
        <v>26.4</v>
      </c>
      <c r="AA24">
        <v>97.2</v>
      </c>
      <c r="AB24">
        <v>0</v>
      </c>
      <c r="AC24">
        <v>0</v>
      </c>
      <c r="AD24">
        <v>0</v>
      </c>
      <c r="AE24">
        <v>0</v>
      </c>
      <c r="AF24">
        <v>40.363636363635877</v>
      </c>
      <c r="AG24">
        <v>109.09090909090909</v>
      </c>
      <c r="AH24">
        <v>149.45454545454501</v>
      </c>
      <c r="AI24">
        <v>22.224661157024851</v>
      </c>
      <c r="AJ24">
        <v>6.7999999999999954</v>
      </c>
      <c r="AK24">
        <v>21.945454545454531</v>
      </c>
      <c r="AL24">
        <v>14.865652892562039</v>
      </c>
      <c r="AM24">
        <v>65.835768595041415</v>
      </c>
      <c r="AN24">
        <v>180</v>
      </c>
      <c r="AO24">
        <v>0</v>
      </c>
      <c r="AP24">
        <v>5.0181818181817812</v>
      </c>
      <c r="AQ24">
        <v>15.31636363636361</v>
      </c>
      <c r="AR24">
        <v>18.82909090909104</v>
      </c>
      <c r="AS24">
        <v>27.403636363636021</v>
      </c>
      <c r="AT24">
        <v>3.1418181818181541</v>
      </c>
      <c r="AU24">
        <v>11.0181818181817</v>
      </c>
      <c r="AV24">
        <v>0</v>
      </c>
      <c r="AW24">
        <v>39.163636363636442</v>
      </c>
      <c r="AX24">
        <v>41.563636363635872</v>
      </c>
      <c r="AY24">
        <v>40.363636363636147</v>
      </c>
      <c r="AZ24">
        <v>39.163636363636328</v>
      </c>
      <c r="BA24">
        <v>41.563636363635602</v>
      </c>
      <c r="BB24">
        <v>40.363636363635962</v>
      </c>
      <c r="BC24">
        <v>13.701818181818011</v>
      </c>
      <c r="BD24">
        <v>4.0799999999999681</v>
      </c>
      <c r="BE24">
        <v>13.16727272727266</v>
      </c>
      <c r="BF24">
        <v>9.4145454545455216</v>
      </c>
    </row>
    <row r="25" spans="1:58" x14ac:dyDescent="0.2">
      <c r="A25">
        <v>312</v>
      </c>
      <c r="B25">
        <v>25</v>
      </c>
      <c r="C25">
        <v>291.66666666666669</v>
      </c>
      <c r="D25">
        <v>250</v>
      </c>
      <c r="E25">
        <v>291.66666666666669</v>
      </c>
      <c r="F25">
        <f t="shared" si="0"/>
        <v>541.66666666666674</v>
      </c>
      <c r="G25">
        <f t="shared" si="0"/>
        <v>541.66666666666674</v>
      </c>
      <c r="H25">
        <v>833.33333333333348</v>
      </c>
      <c r="I25">
        <v>0.35</v>
      </c>
      <c r="J25">
        <v>0.3</v>
      </c>
      <c r="K25">
        <v>0.35</v>
      </c>
      <c r="L25">
        <f t="shared" si="1"/>
        <v>0.64999999999999991</v>
      </c>
      <c r="M25">
        <f t="shared" si="2"/>
        <v>0.64999999999999991</v>
      </c>
      <c r="N25">
        <v>1</v>
      </c>
      <c r="O25">
        <f t="shared" si="3"/>
        <v>0.10000000000000003</v>
      </c>
      <c r="P25">
        <f t="shared" si="4"/>
        <v>4.9999999999999989E-2</v>
      </c>
      <c r="Q25">
        <f t="shared" si="5"/>
        <v>5.0000000000000044E-2</v>
      </c>
      <c r="R25">
        <f t="shared" si="5"/>
        <v>4.9999999999999933E-2</v>
      </c>
      <c r="S25">
        <f t="shared" si="6"/>
        <v>9.9999999999999867E-2</v>
      </c>
      <c r="T25">
        <f t="shared" si="7"/>
        <v>0</v>
      </c>
      <c r="U25">
        <f t="shared" si="8"/>
        <v>0.10000000000000003</v>
      </c>
      <c r="V25">
        <f t="shared" si="9"/>
        <v>0.12247448713915894</v>
      </c>
      <c r="W25">
        <f t="shared" si="10"/>
        <v>0.11180339887498934</v>
      </c>
      <c r="X25">
        <v>0</v>
      </c>
      <c r="Y25">
        <v>56.4</v>
      </c>
      <c r="Z25">
        <v>43.2</v>
      </c>
      <c r="AA25">
        <v>110.4</v>
      </c>
      <c r="AB25">
        <v>0</v>
      </c>
      <c r="AC25">
        <v>0</v>
      </c>
      <c r="AD25">
        <v>0</v>
      </c>
      <c r="AE25">
        <v>0</v>
      </c>
      <c r="AF25">
        <v>35.999999999999588</v>
      </c>
      <c r="AG25">
        <v>120</v>
      </c>
      <c r="AH25">
        <v>155.9999999999996</v>
      </c>
      <c r="AI25">
        <v>8.4880000000000155</v>
      </c>
      <c r="AJ25">
        <v>19.20000000000001</v>
      </c>
      <c r="AK25">
        <v>21.600000000000019</v>
      </c>
      <c r="AL25">
        <v>9.2839999999999776</v>
      </c>
      <c r="AM25">
        <v>58.572000000000017</v>
      </c>
      <c r="AN25">
        <v>180</v>
      </c>
      <c r="AO25">
        <v>0</v>
      </c>
      <c r="AP25">
        <v>14.4</v>
      </c>
      <c r="AQ25">
        <v>15.120000000000109</v>
      </c>
      <c r="AR25">
        <v>11.279999999999241</v>
      </c>
      <c r="AS25">
        <v>11.759999999999851</v>
      </c>
      <c r="AT25">
        <v>8.6400000000000645</v>
      </c>
      <c r="AU25">
        <v>10.8</v>
      </c>
      <c r="AV25">
        <v>0</v>
      </c>
      <c r="AW25">
        <v>40.799999999999358</v>
      </c>
      <c r="AX25">
        <v>31.199999999999921</v>
      </c>
      <c r="AY25">
        <v>35.999999999999638</v>
      </c>
      <c r="AZ25">
        <v>40.799999999999187</v>
      </c>
      <c r="BA25">
        <v>31.199999999999989</v>
      </c>
      <c r="BB25">
        <v>35.999999999999588</v>
      </c>
      <c r="BC25">
        <v>5.8799999999999271</v>
      </c>
      <c r="BD25">
        <v>11.52000000000003</v>
      </c>
      <c r="BE25">
        <v>12.960000000000059</v>
      </c>
      <c r="BF25">
        <v>5.6399999999996204</v>
      </c>
    </row>
    <row r="26" spans="1:58" x14ac:dyDescent="0.2">
      <c r="A26">
        <v>312</v>
      </c>
      <c r="B26">
        <v>22.5</v>
      </c>
      <c r="C26">
        <v>291.66666666666669</v>
      </c>
      <c r="D26">
        <v>250</v>
      </c>
      <c r="E26">
        <v>291.66666666666669</v>
      </c>
      <c r="F26">
        <f t="shared" si="0"/>
        <v>541.66666666666674</v>
      </c>
      <c r="G26">
        <f t="shared" si="0"/>
        <v>541.66666666666674</v>
      </c>
      <c r="H26">
        <v>833.33333333333348</v>
      </c>
      <c r="I26">
        <v>0.3888888888888889</v>
      </c>
      <c r="J26">
        <v>0.33333333333333331</v>
      </c>
      <c r="K26">
        <v>0.3888888888888889</v>
      </c>
      <c r="L26">
        <f t="shared" si="1"/>
        <v>0.72222222222222221</v>
      </c>
      <c r="M26">
        <f t="shared" si="2"/>
        <v>0.72222222222222221</v>
      </c>
      <c r="N26">
        <v>1.1111111111111109</v>
      </c>
      <c r="O26">
        <f t="shared" si="3"/>
        <v>6.1111111111111116E-2</v>
      </c>
      <c r="P26">
        <f t="shared" si="4"/>
        <v>1.6666666666666663E-2</v>
      </c>
      <c r="Q26">
        <f t="shared" si="5"/>
        <v>1.1111111111111127E-2</v>
      </c>
      <c r="R26">
        <f t="shared" si="5"/>
        <v>0.12222222222222223</v>
      </c>
      <c r="S26">
        <f t="shared" si="6"/>
        <v>0.17222222222222217</v>
      </c>
      <c r="T26">
        <f t="shared" si="7"/>
        <v>0.11111111111111094</v>
      </c>
      <c r="U26">
        <f t="shared" si="8"/>
        <v>0.12680791345014791</v>
      </c>
      <c r="V26">
        <f t="shared" si="9"/>
        <v>6.4310205015501262E-2</v>
      </c>
      <c r="W26">
        <f t="shared" si="10"/>
        <v>0.23863035105460578</v>
      </c>
      <c r="X26">
        <v>0</v>
      </c>
      <c r="Y26">
        <v>51.6</v>
      </c>
      <c r="Z26">
        <v>64.8</v>
      </c>
      <c r="AA26">
        <v>16.8</v>
      </c>
      <c r="AB26">
        <v>0</v>
      </c>
      <c r="AC26">
        <v>0</v>
      </c>
      <c r="AD26">
        <v>0</v>
      </c>
      <c r="AE26">
        <v>0</v>
      </c>
      <c r="AF26">
        <v>30.66666666666622</v>
      </c>
      <c r="AG26">
        <v>133.33333333333329</v>
      </c>
      <c r="AH26">
        <v>163.99999999999949</v>
      </c>
      <c r="AI26">
        <v>14.46948148148147</v>
      </c>
      <c r="AJ26">
        <v>31.577777777777762</v>
      </c>
      <c r="AK26">
        <v>2.511111111111096</v>
      </c>
      <c r="AL26">
        <v>1.832592592592571</v>
      </c>
      <c r="AM26">
        <v>50.390962962962902</v>
      </c>
      <c r="AN26">
        <v>180</v>
      </c>
      <c r="AO26">
        <v>0</v>
      </c>
      <c r="AP26">
        <v>4.9333333333333336</v>
      </c>
      <c r="AQ26">
        <v>1.679999999999968</v>
      </c>
      <c r="AR26">
        <v>2.453333333333366</v>
      </c>
      <c r="AS26">
        <v>17.97333333333324</v>
      </c>
      <c r="AT26">
        <v>32.9600000000001</v>
      </c>
      <c r="AU26">
        <v>1.333333333333252</v>
      </c>
      <c r="AV26">
        <v>0</v>
      </c>
      <c r="AW26">
        <v>9.0666666666666664</v>
      </c>
      <c r="AX26">
        <v>52.266666666666588</v>
      </c>
      <c r="AY26">
        <v>30.666666666666629</v>
      </c>
      <c r="AZ26">
        <v>9.0666666666665776</v>
      </c>
      <c r="BA26">
        <v>52.266666666665863</v>
      </c>
      <c r="BB26">
        <v>30.66666666666622</v>
      </c>
      <c r="BC26">
        <v>8.9866666666666184</v>
      </c>
      <c r="BD26">
        <v>18.946666666666719</v>
      </c>
      <c r="BE26">
        <v>1.50666666666661</v>
      </c>
      <c r="BF26">
        <v>1.226666666666683</v>
      </c>
    </row>
    <row r="27" spans="1:58" x14ac:dyDescent="0.2">
      <c r="A27">
        <v>312</v>
      </c>
      <c r="B27">
        <v>20</v>
      </c>
      <c r="C27">
        <v>291.66666666666669</v>
      </c>
      <c r="D27">
        <v>250</v>
      </c>
      <c r="E27">
        <v>291.66666666666669</v>
      </c>
      <c r="F27">
        <f t="shared" si="0"/>
        <v>541.66666666666674</v>
      </c>
      <c r="G27">
        <f t="shared" si="0"/>
        <v>541.66666666666674</v>
      </c>
      <c r="H27">
        <v>833.33333333333348</v>
      </c>
      <c r="I27">
        <v>0.43750000000000011</v>
      </c>
      <c r="J27">
        <v>0.375</v>
      </c>
      <c r="K27">
        <v>0.43750000000000011</v>
      </c>
      <c r="L27">
        <f t="shared" si="1"/>
        <v>0.81250000000000011</v>
      </c>
      <c r="M27">
        <f t="shared" si="2"/>
        <v>0.81250000000000011</v>
      </c>
      <c r="N27">
        <v>1.25</v>
      </c>
      <c r="O27">
        <f t="shared" si="3"/>
        <v>1.24999999999999E-2</v>
      </c>
      <c r="P27">
        <f t="shared" si="4"/>
        <v>0</v>
      </c>
      <c r="Q27">
        <f t="shared" si="5"/>
        <v>0</v>
      </c>
      <c r="R27">
        <f t="shared" si="5"/>
        <v>8.7499999999999911E-2</v>
      </c>
      <c r="S27">
        <f t="shared" si="6"/>
        <v>0.13749999999999984</v>
      </c>
      <c r="T27">
        <f t="shared" si="7"/>
        <v>0.25</v>
      </c>
      <c r="U27">
        <f t="shared" si="8"/>
        <v>0.25031230493125983</v>
      </c>
      <c r="V27">
        <f t="shared" si="9"/>
        <v>1.24999999999999E-2</v>
      </c>
      <c r="W27">
        <f t="shared" si="10"/>
        <v>0.29843340965783294</v>
      </c>
      <c r="X27">
        <v>0</v>
      </c>
      <c r="Y27">
        <v>40.799999999999997</v>
      </c>
      <c r="Z27">
        <v>0</v>
      </c>
      <c r="AA27">
        <v>52.8</v>
      </c>
      <c r="AB27">
        <v>0</v>
      </c>
      <c r="AC27">
        <v>0</v>
      </c>
      <c r="AD27">
        <v>0</v>
      </c>
      <c r="AE27">
        <v>0</v>
      </c>
      <c r="AF27">
        <v>30</v>
      </c>
      <c r="AG27">
        <v>150</v>
      </c>
      <c r="AH27">
        <v>180</v>
      </c>
      <c r="AI27">
        <v>18.75</v>
      </c>
      <c r="AJ27">
        <v>0</v>
      </c>
      <c r="AK27">
        <v>31</v>
      </c>
      <c r="AL27">
        <v>0.24999999999999051</v>
      </c>
      <c r="AM27">
        <v>49.999999999999993</v>
      </c>
      <c r="AN27">
        <v>180</v>
      </c>
      <c r="AO27">
        <v>0</v>
      </c>
      <c r="AP27">
        <v>0</v>
      </c>
      <c r="AQ27">
        <v>22.5</v>
      </c>
      <c r="AR27">
        <v>0.3</v>
      </c>
      <c r="AS27">
        <v>22.5</v>
      </c>
      <c r="AT27">
        <v>0</v>
      </c>
      <c r="AU27">
        <v>14.7</v>
      </c>
      <c r="AV27">
        <v>0</v>
      </c>
      <c r="AW27">
        <v>22.8</v>
      </c>
      <c r="AX27">
        <v>37.200000000000003</v>
      </c>
      <c r="AY27">
        <v>30</v>
      </c>
      <c r="AZ27">
        <v>22.800000000000011</v>
      </c>
      <c r="BA27">
        <v>37.199999999999989</v>
      </c>
      <c r="BB27">
        <v>30</v>
      </c>
      <c r="BC27">
        <v>11.25</v>
      </c>
      <c r="BD27">
        <v>0</v>
      </c>
      <c r="BE27">
        <v>18.600000000000001</v>
      </c>
      <c r="BF27">
        <v>0.15</v>
      </c>
    </row>
    <row r="28" spans="1:58" x14ac:dyDescent="0.2">
      <c r="A28">
        <v>313</v>
      </c>
      <c r="B28">
        <v>50</v>
      </c>
      <c r="C28">
        <v>375</v>
      </c>
      <c r="D28">
        <v>250</v>
      </c>
      <c r="E28">
        <v>375</v>
      </c>
      <c r="F28">
        <f t="shared" si="0"/>
        <v>625</v>
      </c>
      <c r="G28">
        <f t="shared" si="0"/>
        <v>625</v>
      </c>
      <c r="H28">
        <v>1000</v>
      </c>
      <c r="I28">
        <v>0.22500000000000001</v>
      </c>
      <c r="J28">
        <v>0.15</v>
      </c>
      <c r="K28">
        <v>0.22500000000000001</v>
      </c>
      <c r="L28">
        <f t="shared" si="1"/>
        <v>0.375</v>
      </c>
      <c r="M28">
        <f t="shared" si="2"/>
        <v>0.375</v>
      </c>
      <c r="N28">
        <v>0.6</v>
      </c>
      <c r="O28">
        <f t="shared" si="3"/>
        <v>0.17499999999999999</v>
      </c>
      <c r="P28">
        <f t="shared" si="4"/>
        <v>0</v>
      </c>
      <c r="Q28">
        <f t="shared" si="5"/>
        <v>0.125</v>
      </c>
      <c r="R28">
        <f t="shared" si="5"/>
        <v>2.5000000000000022E-2</v>
      </c>
      <c r="S28">
        <f t="shared" si="6"/>
        <v>7.5000000000000011E-2</v>
      </c>
      <c r="T28">
        <f t="shared" si="7"/>
        <v>9.9999999999999978E-2</v>
      </c>
      <c r="U28">
        <f t="shared" si="8"/>
        <v>0.20155644370746373</v>
      </c>
      <c r="V28">
        <f t="shared" si="9"/>
        <v>0.21505813167606566</v>
      </c>
      <c r="W28">
        <f t="shared" si="10"/>
        <v>0.1274754878398196</v>
      </c>
      <c r="X28">
        <v>0</v>
      </c>
      <c r="Y28">
        <v>7.1999999999999993</v>
      </c>
      <c r="Z28">
        <v>27.6</v>
      </c>
      <c r="AA28">
        <v>62.4</v>
      </c>
      <c r="AB28">
        <v>0</v>
      </c>
      <c r="AC28">
        <v>0</v>
      </c>
      <c r="AD28">
        <v>0</v>
      </c>
      <c r="AE28">
        <v>0</v>
      </c>
      <c r="AF28">
        <v>35.99999999999968</v>
      </c>
      <c r="AG28">
        <v>72</v>
      </c>
      <c r="AH28">
        <v>107.9999999999997</v>
      </c>
      <c r="AI28">
        <v>22.74400000000001</v>
      </c>
      <c r="AJ28">
        <v>15.140999999999989</v>
      </c>
      <c r="AK28">
        <v>19.159999999999989</v>
      </c>
      <c r="AL28">
        <v>2.5400000000000049</v>
      </c>
      <c r="AM28">
        <v>59.584999999999987</v>
      </c>
      <c r="AN28">
        <v>180</v>
      </c>
      <c r="AO28">
        <v>0</v>
      </c>
      <c r="AP28">
        <v>6.2399999999999842</v>
      </c>
      <c r="AQ28">
        <v>0.31200000000001937</v>
      </c>
      <c r="AR28">
        <v>3.047999999999512</v>
      </c>
      <c r="AS28">
        <v>27.480000000000292</v>
      </c>
      <c r="AT28">
        <v>12.240000000000061</v>
      </c>
      <c r="AU28">
        <v>22.67999999999989</v>
      </c>
      <c r="AV28">
        <v>0</v>
      </c>
      <c r="AW28">
        <v>9.5999999999995147</v>
      </c>
      <c r="AX28">
        <v>62.400000000000247</v>
      </c>
      <c r="AY28">
        <v>35.999999999999879</v>
      </c>
      <c r="AZ28">
        <v>9.5999999999994401</v>
      </c>
      <c r="BA28">
        <v>62.39999999999992</v>
      </c>
      <c r="BB28">
        <v>35.99999999999968</v>
      </c>
      <c r="BC28">
        <v>13.740000000000149</v>
      </c>
      <c r="BD28">
        <v>9.2400000000000233</v>
      </c>
      <c r="BE28">
        <v>11.495999999999951</v>
      </c>
      <c r="BF28">
        <v>1.523999999999756</v>
      </c>
    </row>
    <row r="29" spans="1:58" x14ac:dyDescent="0.2">
      <c r="A29">
        <v>313</v>
      </c>
      <c r="B29">
        <v>47.5</v>
      </c>
      <c r="C29">
        <v>375</v>
      </c>
      <c r="D29">
        <v>250</v>
      </c>
      <c r="E29">
        <v>375</v>
      </c>
      <c r="F29">
        <f t="shared" si="0"/>
        <v>625</v>
      </c>
      <c r="G29">
        <f t="shared" si="0"/>
        <v>625</v>
      </c>
      <c r="H29">
        <v>1000</v>
      </c>
      <c r="I29">
        <v>0.23684210526315791</v>
      </c>
      <c r="J29">
        <v>0.15789473684210531</v>
      </c>
      <c r="K29">
        <v>0.23684210526315791</v>
      </c>
      <c r="L29">
        <f t="shared" si="1"/>
        <v>0.39473684210526322</v>
      </c>
      <c r="M29">
        <f t="shared" si="2"/>
        <v>0.39473684210526322</v>
      </c>
      <c r="N29">
        <v>0.63157894736842102</v>
      </c>
      <c r="O29">
        <f t="shared" si="3"/>
        <v>0.18684210526315792</v>
      </c>
      <c r="P29">
        <f t="shared" si="4"/>
        <v>7.8947368421053155E-3</v>
      </c>
      <c r="Q29">
        <f t="shared" si="5"/>
        <v>0.1368421052631579</v>
      </c>
      <c r="R29">
        <f t="shared" si="5"/>
        <v>5.263157894736803E-3</v>
      </c>
      <c r="S29">
        <f t="shared" si="6"/>
        <v>5.5263157894736792E-2</v>
      </c>
      <c r="T29">
        <f t="shared" si="7"/>
        <v>0.13157894736842102</v>
      </c>
      <c r="U29">
        <f t="shared" si="8"/>
        <v>0.228523503582784</v>
      </c>
      <c r="V29">
        <f t="shared" si="9"/>
        <v>0.2317284206605402</v>
      </c>
      <c r="W29">
        <f t="shared" si="10"/>
        <v>0.14281014264436978</v>
      </c>
      <c r="X29">
        <v>0</v>
      </c>
      <c r="Y29">
        <v>4.8</v>
      </c>
      <c r="Z29">
        <v>34.799999999999997</v>
      </c>
      <c r="AA29">
        <v>62.4</v>
      </c>
      <c r="AB29">
        <v>0</v>
      </c>
      <c r="AC29">
        <v>0</v>
      </c>
      <c r="AD29">
        <v>0</v>
      </c>
      <c r="AE29">
        <v>0</v>
      </c>
      <c r="AF29">
        <v>39.789473684210307</v>
      </c>
      <c r="AG29">
        <v>75.78947368421052</v>
      </c>
      <c r="AH29">
        <v>115.5789473684208</v>
      </c>
      <c r="AI29">
        <v>21.773074792243762</v>
      </c>
      <c r="AJ29">
        <v>22.35561218836564</v>
      </c>
      <c r="AK29">
        <v>17.79445983379501</v>
      </c>
      <c r="AL29">
        <v>1.626592797783952</v>
      </c>
      <c r="AM29">
        <v>63.549739612188347</v>
      </c>
      <c r="AN29">
        <v>180</v>
      </c>
      <c r="AO29">
        <v>0</v>
      </c>
      <c r="AP29">
        <v>9.2968421052631225</v>
      </c>
      <c r="AQ29">
        <v>2.1407202216066561</v>
      </c>
      <c r="AR29">
        <v>1.951911357340578</v>
      </c>
      <c r="AS29">
        <v>28.61052631578924</v>
      </c>
      <c r="AT29">
        <v>18.36631578947361</v>
      </c>
      <c r="AU29">
        <v>19.212631578947189</v>
      </c>
      <c r="AV29">
        <v>0</v>
      </c>
      <c r="AW29">
        <v>13.389473684210349</v>
      </c>
      <c r="AX29">
        <v>66.189473684210043</v>
      </c>
      <c r="AY29">
        <v>39.789473684210201</v>
      </c>
      <c r="AZ29">
        <v>13.389473684210429</v>
      </c>
      <c r="BA29">
        <v>66.189473684210185</v>
      </c>
      <c r="BB29">
        <v>39.789473684210307</v>
      </c>
      <c r="BC29">
        <v>14.30526315789462</v>
      </c>
      <c r="BD29">
        <v>13.831578947368371</v>
      </c>
      <c r="BE29">
        <v>10.676675900276919</v>
      </c>
      <c r="BF29">
        <v>0.97595567867028876</v>
      </c>
    </row>
    <row r="30" spans="1:58" x14ac:dyDescent="0.2">
      <c r="A30">
        <v>313</v>
      </c>
      <c r="B30">
        <v>45</v>
      </c>
      <c r="C30">
        <v>375</v>
      </c>
      <c r="D30">
        <v>250</v>
      </c>
      <c r="E30">
        <v>375</v>
      </c>
      <c r="F30">
        <f t="shared" si="0"/>
        <v>625</v>
      </c>
      <c r="G30">
        <f t="shared" si="0"/>
        <v>625</v>
      </c>
      <c r="H30">
        <v>1000</v>
      </c>
      <c r="I30">
        <v>0.25</v>
      </c>
      <c r="J30">
        <v>0.16666666666666671</v>
      </c>
      <c r="K30">
        <v>0.25</v>
      </c>
      <c r="L30">
        <f t="shared" si="1"/>
        <v>0.41666666666666674</v>
      </c>
      <c r="M30">
        <f t="shared" si="2"/>
        <v>0.41666666666666674</v>
      </c>
      <c r="N30">
        <v>0.66666666666666663</v>
      </c>
      <c r="O30">
        <f t="shared" si="3"/>
        <v>0.2</v>
      </c>
      <c r="P30">
        <f t="shared" si="4"/>
        <v>1.6666666666666718E-2</v>
      </c>
      <c r="Q30">
        <f t="shared" si="5"/>
        <v>0.15</v>
      </c>
      <c r="R30">
        <f t="shared" si="5"/>
        <v>0</v>
      </c>
      <c r="S30">
        <f t="shared" si="6"/>
        <v>3.333333333333327E-2</v>
      </c>
      <c r="T30">
        <f t="shared" si="7"/>
        <v>0.16666666666666663</v>
      </c>
      <c r="U30">
        <f t="shared" si="8"/>
        <v>0.26034165586355512</v>
      </c>
      <c r="V30">
        <f t="shared" si="9"/>
        <v>0.2505549396395485</v>
      </c>
      <c r="W30">
        <f t="shared" si="10"/>
        <v>0.16996731711975946</v>
      </c>
      <c r="X30">
        <v>0</v>
      </c>
      <c r="Y30">
        <v>16.8</v>
      </c>
      <c r="Z30">
        <v>43.2</v>
      </c>
      <c r="AA30">
        <v>74.399999999999991</v>
      </c>
      <c r="AB30">
        <v>0</v>
      </c>
      <c r="AC30">
        <v>0</v>
      </c>
      <c r="AD30">
        <v>0</v>
      </c>
      <c r="AE30">
        <v>0</v>
      </c>
      <c r="AF30">
        <v>43.999999999999588</v>
      </c>
      <c r="AG30">
        <v>80</v>
      </c>
      <c r="AH30">
        <v>123.9999999999996</v>
      </c>
      <c r="AI30">
        <v>31.975111111111129</v>
      </c>
      <c r="AJ30">
        <v>15.39866666666669</v>
      </c>
      <c r="AK30">
        <v>18.70666666666666</v>
      </c>
      <c r="AL30">
        <v>3.7600000000000162</v>
      </c>
      <c r="AM30">
        <v>69.840444444444515</v>
      </c>
      <c r="AN30">
        <v>180</v>
      </c>
      <c r="AO30">
        <v>0</v>
      </c>
      <c r="AP30">
        <v>0.960000000000097</v>
      </c>
      <c r="AQ30">
        <v>0.12799999999996439</v>
      </c>
      <c r="AR30">
        <v>4.5119999999992917</v>
      </c>
      <c r="AS30">
        <v>41.680000000000128</v>
      </c>
      <c r="AT30">
        <v>18.399999999999999</v>
      </c>
      <c r="AU30">
        <v>22.319999999999951</v>
      </c>
      <c r="AV30">
        <v>0</v>
      </c>
      <c r="AW30">
        <v>5.5999999999993531</v>
      </c>
      <c r="AX30">
        <v>82.400000000000077</v>
      </c>
      <c r="AY30">
        <v>43.999999999999723</v>
      </c>
      <c r="AZ30">
        <v>5.5999999999992696</v>
      </c>
      <c r="BA30">
        <v>82.39999999999992</v>
      </c>
      <c r="BB30">
        <v>43.999999999999588</v>
      </c>
      <c r="BC30">
        <v>20.84000000000006</v>
      </c>
      <c r="BD30">
        <v>9.6800000000000477</v>
      </c>
      <c r="BE30">
        <v>11.223999999999959</v>
      </c>
      <c r="BF30">
        <v>2.2559999999996458</v>
      </c>
    </row>
    <row r="31" spans="1:58" x14ac:dyDescent="0.2">
      <c r="A31">
        <v>313</v>
      </c>
      <c r="B31">
        <v>42.5</v>
      </c>
      <c r="C31">
        <v>375</v>
      </c>
      <c r="D31">
        <v>250</v>
      </c>
      <c r="E31">
        <v>375</v>
      </c>
      <c r="F31">
        <f t="shared" si="0"/>
        <v>625</v>
      </c>
      <c r="G31">
        <f t="shared" si="0"/>
        <v>625</v>
      </c>
      <c r="H31">
        <v>1000</v>
      </c>
      <c r="I31">
        <v>0.26470588235294118</v>
      </c>
      <c r="J31">
        <v>0.1764705882352941</v>
      </c>
      <c r="K31">
        <v>0.26470588235294118</v>
      </c>
      <c r="L31">
        <f t="shared" si="1"/>
        <v>0.44117647058823528</v>
      </c>
      <c r="M31">
        <f t="shared" si="2"/>
        <v>0.44117647058823528</v>
      </c>
      <c r="N31">
        <v>0.70588235294117641</v>
      </c>
      <c r="O31">
        <f t="shared" si="3"/>
        <v>0.18529411764705883</v>
      </c>
      <c r="P31">
        <f t="shared" si="4"/>
        <v>2.6470588235294107E-2</v>
      </c>
      <c r="Q31">
        <f t="shared" si="5"/>
        <v>0.13529411764705884</v>
      </c>
      <c r="R31">
        <f t="shared" si="5"/>
        <v>0</v>
      </c>
      <c r="S31">
        <f t="shared" si="6"/>
        <v>8.82352941176473E-3</v>
      </c>
      <c r="T31">
        <f t="shared" si="7"/>
        <v>0.20588235294117641</v>
      </c>
      <c r="U31">
        <f t="shared" si="8"/>
        <v>0.2769863774397528</v>
      </c>
      <c r="V31">
        <f t="shared" si="9"/>
        <v>0.23095259328706566</v>
      </c>
      <c r="W31">
        <f t="shared" si="10"/>
        <v>0.2060713418306277</v>
      </c>
      <c r="X31">
        <v>0</v>
      </c>
      <c r="Y31">
        <v>62.4</v>
      </c>
      <c r="Z31">
        <v>58.8</v>
      </c>
      <c r="AA31">
        <v>22.8</v>
      </c>
      <c r="AB31">
        <v>0</v>
      </c>
      <c r="AC31">
        <v>0</v>
      </c>
      <c r="AD31">
        <v>0</v>
      </c>
      <c r="AE31">
        <v>0</v>
      </c>
      <c r="AF31">
        <v>41.647058823528887</v>
      </c>
      <c r="AG31">
        <v>84.705882352941174</v>
      </c>
      <c r="AH31">
        <v>126.3529411764701</v>
      </c>
      <c r="AI31">
        <v>11.61579238754328</v>
      </c>
      <c r="AJ31">
        <v>29.24705882352939</v>
      </c>
      <c r="AK31">
        <v>3.9176470588235088</v>
      </c>
      <c r="AL31">
        <v>23.660498269896198</v>
      </c>
      <c r="AM31">
        <v>68.440996539792394</v>
      </c>
      <c r="AN31">
        <v>180</v>
      </c>
      <c r="AO31">
        <v>0</v>
      </c>
      <c r="AP31">
        <v>30.635294117647089</v>
      </c>
      <c r="AQ31">
        <v>0.4658823529411974</v>
      </c>
      <c r="AR31">
        <v>28.545882352940762</v>
      </c>
      <c r="AS31">
        <v>14.95058823529382</v>
      </c>
      <c r="AT31">
        <v>4.4611764705881392</v>
      </c>
      <c r="AU31">
        <v>4.2352941176470056</v>
      </c>
      <c r="AV31">
        <v>0</v>
      </c>
      <c r="AW31">
        <v>59.647058823529051</v>
      </c>
      <c r="AX31">
        <v>23.647058823528969</v>
      </c>
      <c r="AY31">
        <v>41.647058823529008</v>
      </c>
      <c r="AZ31">
        <v>59.64705882352898</v>
      </c>
      <c r="BA31">
        <v>23.647058823528809</v>
      </c>
      <c r="BB31">
        <v>41.647058823528887</v>
      </c>
      <c r="BC31">
        <v>7.4752941176469099</v>
      </c>
      <c r="BD31">
        <v>17.54823529411761</v>
      </c>
      <c r="BE31">
        <v>2.3505882352941021</v>
      </c>
      <c r="BF31">
        <v>14.272941176470381</v>
      </c>
    </row>
    <row r="32" spans="1:58" x14ac:dyDescent="0.2">
      <c r="A32">
        <v>313</v>
      </c>
      <c r="B32">
        <v>40</v>
      </c>
      <c r="C32">
        <v>375</v>
      </c>
      <c r="D32">
        <v>250</v>
      </c>
      <c r="E32">
        <v>375</v>
      </c>
      <c r="F32">
        <f t="shared" si="0"/>
        <v>625</v>
      </c>
      <c r="G32">
        <f t="shared" si="0"/>
        <v>625</v>
      </c>
      <c r="H32">
        <v>1000</v>
      </c>
      <c r="I32">
        <v>0.28125</v>
      </c>
      <c r="J32">
        <v>0.1875</v>
      </c>
      <c r="K32">
        <v>0.28125</v>
      </c>
      <c r="L32">
        <f t="shared" si="1"/>
        <v>0.46875</v>
      </c>
      <c r="M32">
        <f t="shared" si="2"/>
        <v>0.46875</v>
      </c>
      <c r="N32">
        <v>0.75</v>
      </c>
      <c r="O32">
        <f t="shared" si="3"/>
        <v>0.16875000000000001</v>
      </c>
      <c r="P32">
        <f t="shared" si="4"/>
        <v>3.7500000000000006E-2</v>
      </c>
      <c r="Q32">
        <f t="shared" si="5"/>
        <v>0.11875000000000002</v>
      </c>
      <c r="R32">
        <f t="shared" si="5"/>
        <v>0</v>
      </c>
      <c r="S32">
        <f t="shared" si="6"/>
        <v>0</v>
      </c>
      <c r="T32">
        <f t="shared" si="7"/>
        <v>0.25</v>
      </c>
      <c r="U32">
        <f t="shared" si="8"/>
        <v>0.30162321280034132</v>
      </c>
      <c r="V32">
        <f t="shared" si="9"/>
        <v>0.20972452169453148</v>
      </c>
      <c r="W32">
        <f t="shared" si="10"/>
        <v>0.25</v>
      </c>
      <c r="X32">
        <v>0</v>
      </c>
      <c r="Y32">
        <v>37.200000000000003</v>
      </c>
      <c r="Z32">
        <v>32.4</v>
      </c>
      <c r="AA32">
        <v>109.2</v>
      </c>
      <c r="AB32">
        <v>0</v>
      </c>
      <c r="AC32">
        <v>0</v>
      </c>
      <c r="AD32">
        <v>0</v>
      </c>
      <c r="AE32">
        <v>0</v>
      </c>
      <c r="AF32">
        <v>38.999999999999631</v>
      </c>
      <c r="AG32">
        <v>90</v>
      </c>
      <c r="AH32">
        <v>128.9999999999996</v>
      </c>
      <c r="AI32">
        <v>30.965250000000029</v>
      </c>
      <c r="AJ32">
        <v>6.6749999999999972</v>
      </c>
      <c r="AK32">
        <v>9.5249999999999932</v>
      </c>
      <c r="AL32">
        <v>16.455250000000021</v>
      </c>
      <c r="AM32">
        <v>63.620500000000042</v>
      </c>
      <c r="AN32">
        <v>180</v>
      </c>
      <c r="AO32">
        <v>0</v>
      </c>
      <c r="AP32">
        <v>3.45</v>
      </c>
      <c r="AQ32">
        <v>1.980000000000129</v>
      </c>
      <c r="AR32">
        <v>20.369999999999791</v>
      </c>
      <c r="AS32">
        <v>38.189999999999657</v>
      </c>
      <c r="AT32">
        <v>4.5599999999998548</v>
      </c>
      <c r="AU32">
        <v>9.4499999999999194</v>
      </c>
      <c r="AV32">
        <v>0</v>
      </c>
      <c r="AW32">
        <v>25.799999999999919</v>
      </c>
      <c r="AX32">
        <v>52.199999999999427</v>
      </c>
      <c r="AY32">
        <v>38.999999999999673</v>
      </c>
      <c r="AZ32">
        <v>25.79999999999993</v>
      </c>
      <c r="BA32">
        <v>52.199999999999513</v>
      </c>
      <c r="BB32">
        <v>38.999999999999723</v>
      </c>
      <c r="BC32">
        <v>19.094999999999828</v>
      </c>
      <c r="BD32">
        <v>4.004999999999928</v>
      </c>
      <c r="BE32">
        <v>5.7150000000000247</v>
      </c>
      <c r="BF32">
        <v>10.184999999999899</v>
      </c>
    </row>
    <row r="33" spans="1:58" x14ac:dyDescent="0.2">
      <c r="A33">
        <v>313</v>
      </c>
      <c r="B33">
        <v>37.5</v>
      </c>
      <c r="C33">
        <v>375</v>
      </c>
      <c r="D33">
        <v>250</v>
      </c>
      <c r="E33">
        <v>375</v>
      </c>
      <c r="F33">
        <f t="shared" si="0"/>
        <v>625</v>
      </c>
      <c r="G33">
        <f t="shared" si="0"/>
        <v>625</v>
      </c>
      <c r="H33">
        <v>1000</v>
      </c>
      <c r="I33">
        <v>0.3</v>
      </c>
      <c r="J33">
        <v>0.2</v>
      </c>
      <c r="K33">
        <v>0.3</v>
      </c>
      <c r="L33">
        <f t="shared" si="1"/>
        <v>0.5</v>
      </c>
      <c r="M33">
        <f t="shared" si="2"/>
        <v>0.5</v>
      </c>
      <c r="N33">
        <v>0.8</v>
      </c>
      <c r="O33">
        <f t="shared" si="3"/>
        <v>0.15000000000000002</v>
      </c>
      <c r="P33">
        <f t="shared" si="4"/>
        <v>5.0000000000000017E-2</v>
      </c>
      <c r="Q33">
        <f t="shared" si="5"/>
        <v>0.10000000000000003</v>
      </c>
      <c r="R33">
        <f t="shared" si="5"/>
        <v>0</v>
      </c>
      <c r="S33">
        <f t="shared" si="6"/>
        <v>0</v>
      </c>
      <c r="T33">
        <f t="shared" si="7"/>
        <v>0.19999999999999996</v>
      </c>
      <c r="U33">
        <f t="shared" si="8"/>
        <v>0.24999999999999997</v>
      </c>
      <c r="V33">
        <f t="shared" si="9"/>
        <v>0.18708286933869711</v>
      </c>
      <c r="W33">
        <f t="shared" si="10"/>
        <v>0.19999999999999996</v>
      </c>
      <c r="X33">
        <v>0</v>
      </c>
      <c r="Y33">
        <v>37.200000000000003</v>
      </c>
      <c r="Z33">
        <v>26.4</v>
      </c>
      <c r="AA33">
        <v>109.2</v>
      </c>
      <c r="AB33">
        <v>0</v>
      </c>
      <c r="AC33">
        <v>0</v>
      </c>
      <c r="AD33">
        <v>0</v>
      </c>
      <c r="AE33">
        <v>0</v>
      </c>
      <c r="AF33">
        <v>35.999999999999631</v>
      </c>
      <c r="AG33">
        <v>96</v>
      </c>
      <c r="AH33">
        <v>131.9999999999996</v>
      </c>
      <c r="AI33">
        <v>29.00400000000004</v>
      </c>
      <c r="AJ33">
        <v>1.7999999999999969</v>
      </c>
      <c r="AK33">
        <v>6.3999999999999924</v>
      </c>
      <c r="AL33">
        <v>21.12400000000002</v>
      </c>
      <c r="AM33">
        <v>58.328000000000053</v>
      </c>
      <c r="AN33">
        <v>180</v>
      </c>
      <c r="AO33">
        <v>0</v>
      </c>
      <c r="AP33">
        <v>1.2</v>
      </c>
      <c r="AQ33">
        <v>6.4800000000000484</v>
      </c>
      <c r="AR33">
        <v>27.11999999999987</v>
      </c>
      <c r="AS33">
        <v>35.039999999999658</v>
      </c>
      <c r="AT33">
        <v>0.95999999999993535</v>
      </c>
      <c r="AU33">
        <v>1.1999999999998381</v>
      </c>
      <c r="AV33">
        <v>0</v>
      </c>
      <c r="AW33">
        <v>34.799999999999919</v>
      </c>
      <c r="AX33">
        <v>37.199999999999427</v>
      </c>
      <c r="AY33">
        <v>35.999999999999673</v>
      </c>
      <c r="AZ33">
        <v>34.799999999999933</v>
      </c>
      <c r="BA33">
        <v>37.199999999999513</v>
      </c>
      <c r="BB33">
        <v>35.999999999999723</v>
      </c>
      <c r="BC33">
        <v>17.519999999999829</v>
      </c>
      <c r="BD33">
        <v>1.0799999999999681</v>
      </c>
      <c r="BE33">
        <v>3.839999999999943</v>
      </c>
      <c r="BF33">
        <v>13.559999999999929</v>
      </c>
    </row>
    <row r="34" spans="1:58" x14ac:dyDescent="0.2">
      <c r="A34">
        <v>313</v>
      </c>
      <c r="B34">
        <v>35</v>
      </c>
      <c r="C34">
        <v>375</v>
      </c>
      <c r="D34">
        <v>250</v>
      </c>
      <c r="E34">
        <v>375</v>
      </c>
      <c r="F34">
        <f t="shared" ref="F34:G65" si="11">C34+D34</f>
        <v>625</v>
      </c>
      <c r="G34">
        <f t="shared" si="11"/>
        <v>625</v>
      </c>
      <c r="H34">
        <v>1000</v>
      </c>
      <c r="I34">
        <v>0.3214285714285714</v>
      </c>
      <c r="J34">
        <v>0.2142857142857143</v>
      </c>
      <c r="K34">
        <v>0.3214285714285714</v>
      </c>
      <c r="L34">
        <f t="shared" si="1"/>
        <v>0.5357142857142857</v>
      </c>
      <c r="M34">
        <f t="shared" si="2"/>
        <v>0.5357142857142857</v>
      </c>
      <c r="N34">
        <v>0.8571428571428571</v>
      </c>
      <c r="O34">
        <f t="shared" si="3"/>
        <v>0.12857142857142861</v>
      </c>
      <c r="P34">
        <f t="shared" si="4"/>
        <v>6.4285714285714307E-2</v>
      </c>
      <c r="Q34">
        <f t="shared" si="5"/>
        <v>7.8571428571428625E-2</v>
      </c>
      <c r="R34">
        <f t="shared" si="5"/>
        <v>0</v>
      </c>
      <c r="S34">
        <f t="shared" si="6"/>
        <v>0</v>
      </c>
      <c r="T34">
        <f t="shared" si="7"/>
        <v>0.1428571428571429</v>
      </c>
      <c r="U34">
        <f t="shared" si="8"/>
        <v>0.1921946292439102</v>
      </c>
      <c r="V34">
        <f t="shared" si="9"/>
        <v>0.16381921344542455</v>
      </c>
      <c r="W34">
        <f t="shared" si="10"/>
        <v>0.1428571428571429</v>
      </c>
      <c r="X34">
        <v>0</v>
      </c>
      <c r="Y34">
        <v>61.2</v>
      </c>
      <c r="Z34">
        <v>57.599999999999987</v>
      </c>
      <c r="AA34">
        <v>16.8</v>
      </c>
      <c r="AB34">
        <v>0</v>
      </c>
      <c r="AC34">
        <v>0</v>
      </c>
      <c r="AD34">
        <v>0</v>
      </c>
      <c r="AE34">
        <v>0</v>
      </c>
      <c r="AF34">
        <v>32.571428571427951</v>
      </c>
      <c r="AG34">
        <v>102.8571428571429</v>
      </c>
      <c r="AH34">
        <v>135.42857142857079</v>
      </c>
      <c r="AI34">
        <v>7.4026122448979583</v>
      </c>
      <c r="AJ34">
        <v>25.599999999999991</v>
      </c>
      <c r="AK34">
        <v>4.5142857142857</v>
      </c>
      <c r="AL34">
        <v>14.821306122448959</v>
      </c>
      <c r="AM34">
        <v>52.338204081632611</v>
      </c>
      <c r="AN34">
        <v>180</v>
      </c>
      <c r="AO34">
        <v>0</v>
      </c>
      <c r="AP34">
        <v>22.628571428571501</v>
      </c>
      <c r="AQ34">
        <v>3.1885714285713518</v>
      </c>
      <c r="AR34">
        <v>18.754285714285409</v>
      </c>
      <c r="AS34">
        <v>10.25142857142847</v>
      </c>
      <c r="AT34">
        <v>8.0914285714283736</v>
      </c>
      <c r="AU34">
        <v>2.2285714285714979</v>
      </c>
      <c r="AV34">
        <v>0</v>
      </c>
      <c r="AW34">
        <v>44.571428571428257</v>
      </c>
      <c r="AX34">
        <v>20.571428571428338</v>
      </c>
      <c r="AY34">
        <v>32.571428571428299</v>
      </c>
      <c r="AZ34">
        <v>44.571428571428072</v>
      </c>
      <c r="BA34">
        <v>20.57142857142799</v>
      </c>
      <c r="BB34">
        <v>32.571428571428029</v>
      </c>
      <c r="BC34">
        <v>5.1257142857142348</v>
      </c>
      <c r="BD34">
        <v>15.359999999999941</v>
      </c>
      <c r="BE34">
        <v>2.7085714285714251</v>
      </c>
      <c r="BF34">
        <v>9.3771428571427045</v>
      </c>
    </row>
    <row r="35" spans="1:58" x14ac:dyDescent="0.2">
      <c r="A35">
        <v>313</v>
      </c>
      <c r="B35">
        <v>32.5</v>
      </c>
      <c r="C35">
        <v>375</v>
      </c>
      <c r="D35">
        <v>250</v>
      </c>
      <c r="E35">
        <v>375</v>
      </c>
      <c r="F35">
        <f t="shared" si="11"/>
        <v>625</v>
      </c>
      <c r="G35">
        <f t="shared" si="11"/>
        <v>625</v>
      </c>
      <c r="H35">
        <v>1000</v>
      </c>
      <c r="I35">
        <v>0.3461538461538462</v>
      </c>
      <c r="J35">
        <v>0.23076923076923081</v>
      </c>
      <c r="K35">
        <v>0.3461538461538462</v>
      </c>
      <c r="L35">
        <f t="shared" si="1"/>
        <v>0.57692307692307698</v>
      </c>
      <c r="M35">
        <f t="shared" si="2"/>
        <v>0.57692307692307698</v>
      </c>
      <c r="N35">
        <v>0.92307692307692313</v>
      </c>
      <c r="O35">
        <f t="shared" si="3"/>
        <v>0.10384615384615381</v>
      </c>
      <c r="P35">
        <f t="shared" si="4"/>
        <v>8.0769230769230815E-2</v>
      </c>
      <c r="Q35">
        <f t="shared" si="5"/>
        <v>5.3846153846153821E-2</v>
      </c>
      <c r="R35">
        <f t="shared" si="5"/>
        <v>0</v>
      </c>
      <c r="S35">
        <f t="shared" si="6"/>
        <v>2.6923076923076938E-2</v>
      </c>
      <c r="T35">
        <f t="shared" si="7"/>
        <v>7.6923076923076872E-2</v>
      </c>
      <c r="U35">
        <f t="shared" si="8"/>
        <v>0.12923305858778028</v>
      </c>
      <c r="V35">
        <f t="shared" si="9"/>
        <v>0.14215168163520253</v>
      </c>
      <c r="W35">
        <f t="shared" si="10"/>
        <v>8.1498538847757998E-2</v>
      </c>
      <c r="X35">
        <v>0</v>
      </c>
      <c r="Y35">
        <v>43.2</v>
      </c>
      <c r="Z35">
        <v>34.799999999999997</v>
      </c>
      <c r="AA35">
        <v>109.2</v>
      </c>
      <c r="AB35">
        <v>0</v>
      </c>
      <c r="AC35">
        <v>0</v>
      </c>
      <c r="AD35">
        <v>0</v>
      </c>
      <c r="AE35">
        <v>0</v>
      </c>
      <c r="AF35">
        <v>28.61538461538434</v>
      </c>
      <c r="AG35">
        <v>110.7692307692308</v>
      </c>
      <c r="AH35">
        <v>139.3846153846151</v>
      </c>
      <c r="AI35">
        <v>19.532331360946738</v>
      </c>
      <c r="AJ35">
        <v>6.2461538461538364</v>
      </c>
      <c r="AK35">
        <v>9.4307692307692204</v>
      </c>
      <c r="AL35">
        <v>10.23611834319526</v>
      </c>
      <c r="AM35">
        <v>45.445372781065061</v>
      </c>
      <c r="AN35">
        <v>180</v>
      </c>
      <c r="AO35">
        <v>0</v>
      </c>
      <c r="AP35">
        <v>1.661538461538536</v>
      </c>
      <c r="AQ35">
        <v>7.2553846153846182</v>
      </c>
      <c r="AR35">
        <v>13.6984615384614</v>
      </c>
      <c r="AS35">
        <v>24.719999999999551</v>
      </c>
      <c r="AT35">
        <v>5.8338461538462276</v>
      </c>
      <c r="AU35">
        <v>4.0615384615384551</v>
      </c>
      <c r="AV35">
        <v>0</v>
      </c>
      <c r="AW35">
        <v>22.61538461538456</v>
      </c>
      <c r="AX35">
        <v>34.61538461538423</v>
      </c>
      <c r="AY35">
        <v>28.615384615384389</v>
      </c>
      <c r="AZ35">
        <v>22.6153846153845</v>
      </c>
      <c r="BA35">
        <v>34.615384615384187</v>
      </c>
      <c r="BB35">
        <v>28.61538461538434</v>
      </c>
      <c r="BC35">
        <v>12.35999999999977</v>
      </c>
      <c r="BD35">
        <v>3.747692307692382</v>
      </c>
      <c r="BE35">
        <v>5.6584615384615367</v>
      </c>
      <c r="BF35">
        <v>6.8492307692307</v>
      </c>
    </row>
    <row r="36" spans="1:58" x14ac:dyDescent="0.2">
      <c r="A36">
        <v>313</v>
      </c>
      <c r="B36">
        <v>30</v>
      </c>
      <c r="C36">
        <v>375</v>
      </c>
      <c r="D36">
        <v>250</v>
      </c>
      <c r="E36">
        <v>375</v>
      </c>
      <c r="F36">
        <f t="shared" si="11"/>
        <v>625</v>
      </c>
      <c r="G36">
        <f t="shared" si="11"/>
        <v>625</v>
      </c>
      <c r="H36">
        <v>1000</v>
      </c>
      <c r="I36">
        <v>0.375</v>
      </c>
      <c r="J36">
        <v>0.25</v>
      </c>
      <c r="K36">
        <v>0.375</v>
      </c>
      <c r="L36">
        <f t="shared" si="1"/>
        <v>0.625</v>
      </c>
      <c r="M36">
        <f t="shared" si="2"/>
        <v>0.625</v>
      </c>
      <c r="N36">
        <v>1</v>
      </c>
      <c r="O36">
        <f t="shared" si="3"/>
        <v>7.5000000000000011E-2</v>
      </c>
      <c r="P36">
        <f t="shared" si="4"/>
        <v>9.9999999999999978E-2</v>
      </c>
      <c r="Q36">
        <f t="shared" si="5"/>
        <v>2.5000000000000022E-2</v>
      </c>
      <c r="R36">
        <f t="shared" si="5"/>
        <v>2.5000000000000022E-2</v>
      </c>
      <c r="S36">
        <f t="shared" si="6"/>
        <v>7.4999999999999956E-2</v>
      </c>
      <c r="T36">
        <f t="shared" si="7"/>
        <v>0</v>
      </c>
      <c r="U36">
        <f t="shared" si="8"/>
        <v>7.5000000000000011E-2</v>
      </c>
      <c r="V36">
        <f t="shared" si="9"/>
        <v>0.1274754878398196</v>
      </c>
      <c r="W36">
        <f t="shared" si="10"/>
        <v>7.9056941504209458E-2</v>
      </c>
      <c r="X36">
        <v>0</v>
      </c>
      <c r="Y36">
        <v>49.2</v>
      </c>
      <c r="Z36">
        <v>34.799999999999997</v>
      </c>
      <c r="AA36">
        <v>109.2</v>
      </c>
      <c r="AB36">
        <v>0</v>
      </c>
      <c r="AC36">
        <v>0</v>
      </c>
      <c r="AD36">
        <v>0</v>
      </c>
      <c r="AE36">
        <v>0</v>
      </c>
      <c r="AF36">
        <v>23.99999999999967</v>
      </c>
      <c r="AG36">
        <v>120</v>
      </c>
      <c r="AH36">
        <v>143.99999999999969</v>
      </c>
      <c r="AI36">
        <v>11.536</v>
      </c>
      <c r="AJ36">
        <v>5.899999999999987</v>
      </c>
      <c r="AK36">
        <v>10.69999999999998</v>
      </c>
      <c r="AL36">
        <v>10.705999999999991</v>
      </c>
      <c r="AM36">
        <v>38.841999999999963</v>
      </c>
      <c r="AN36">
        <v>180</v>
      </c>
      <c r="AO36">
        <v>0</v>
      </c>
      <c r="AP36">
        <v>4.2</v>
      </c>
      <c r="AQ36">
        <v>12.240000000000061</v>
      </c>
      <c r="AR36">
        <v>13.56000000000002</v>
      </c>
      <c r="AS36">
        <v>14.51999999999979</v>
      </c>
      <c r="AT36">
        <v>2.879999999999967</v>
      </c>
      <c r="AU36">
        <v>0.6</v>
      </c>
      <c r="AV36">
        <v>0</v>
      </c>
      <c r="AW36">
        <v>30.000000000000082</v>
      </c>
      <c r="AX36">
        <v>17.999999999999758</v>
      </c>
      <c r="AY36">
        <v>23.999999999999918</v>
      </c>
      <c r="AZ36">
        <v>29.999999999999829</v>
      </c>
      <c r="BA36">
        <v>17.99999999999952</v>
      </c>
      <c r="BB36">
        <v>23.99999999999967</v>
      </c>
      <c r="BC36">
        <v>7.259999999999895</v>
      </c>
      <c r="BD36">
        <v>3.539999999999984</v>
      </c>
      <c r="BE36">
        <v>6.4200000000000319</v>
      </c>
      <c r="BF36">
        <v>6.7800000000000082</v>
      </c>
    </row>
    <row r="37" spans="1:58" x14ac:dyDescent="0.2">
      <c r="A37">
        <v>313</v>
      </c>
      <c r="B37">
        <v>27.5</v>
      </c>
      <c r="C37">
        <v>375</v>
      </c>
      <c r="D37">
        <v>250</v>
      </c>
      <c r="E37">
        <v>375</v>
      </c>
      <c r="F37">
        <f t="shared" si="11"/>
        <v>625</v>
      </c>
      <c r="G37">
        <f t="shared" si="11"/>
        <v>625</v>
      </c>
      <c r="H37">
        <v>1000</v>
      </c>
      <c r="I37">
        <v>0.40909090909090912</v>
      </c>
      <c r="J37">
        <v>0.27272727272727282</v>
      </c>
      <c r="K37">
        <v>0.40909090909090912</v>
      </c>
      <c r="L37">
        <f t="shared" si="1"/>
        <v>0.68181818181818188</v>
      </c>
      <c r="M37">
        <f t="shared" si="2"/>
        <v>0.68181818181818188</v>
      </c>
      <c r="N37">
        <v>1.0909090909090911</v>
      </c>
      <c r="O37">
        <f t="shared" si="3"/>
        <v>4.0909090909090895E-2</v>
      </c>
      <c r="P37">
        <f t="shared" si="4"/>
        <v>7.727272727272716E-2</v>
      </c>
      <c r="Q37">
        <f t="shared" si="5"/>
        <v>0</v>
      </c>
      <c r="R37">
        <f t="shared" si="5"/>
        <v>8.1818181818181901E-2</v>
      </c>
      <c r="S37">
        <f t="shared" si="6"/>
        <v>0.13181818181818183</v>
      </c>
      <c r="T37">
        <f t="shared" si="7"/>
        <v>9.090909090909105E-2</v>
      </c>
      <c r="U37">
        <f t="shared" si="8"/>
        <v>9.9689600906642445E-2</v>
      </c>
      <c r="V37">
        <f t="shared" si="9"/>
        <v>8.7433563916687815E-2</v>
      </c>
      <c r="W37">
        <f t="shared" si="10"/>
        <v>0.17981854949865905</v>
      </c>
      <c r="X37">
        <v>0</v>
      </c>
      <c r="Y37">
        <v>49.2</v>
      </c>
      <c r="Z37">
        <v>32.4</v>
      </c>
      <c r="AA37">
        <v>104.4</v>
      </c>
      <c r="AB37">
        <v>0</v>
      </c>
      <c r="AC37">
        <v>0</v>
      </c>
      <c r="AD37">
        <v>0</v>
      </c>
      <c r="AE37">
        <v>0</v>
      </c>
      <c r="AF37">
        <v>20.72727272727262</v>
      </c>
      <c r="AG37">
        <v>130.90909090909091</v>
      </c>
      <c r="AH37">
        <v>151.63636363636351</v>
      </c>
      <c r="AI37">
        <v>8.1608595041321941</v>
      </c>
      <c r="AJ37">
        <v>3.4363636363636259</v>
      </c>
      <c r="AK37">
        <v>12.76363636363638</v>
      </c>
      <c r="AL37">
        <v>9.4181818181818517</v>
      </c>
      <c r="AM37">
        <v>33.77904132231405</v>
      </c>
      <c r="AN37">
        <v>180</v>
      </c>
      <c r="AO37">
        <v>0</v>
      </c>
      <c r="AP37">
        <v>0.1090909090908503</v>
      </c>
      <c r="AQ37">
        <v>15.31636363636369</v>
      </c>
      <c r="AR37">
        <v>11.30181818181833</v>
      </c>
      <c r="AS37">
        <v>10.712727272727349</v>
      </c>
      <c r="AT37">
        <v>4.0145454545454413</v>
      </c>
      <c r="AU37">
        <v>0</v>
      </c>
      <c r="AV37">
        <v>0</v>
      </c>
      <c r="AW37">
        <v>26.727272727272879</v>
      </c>
      <c r="AX37">
        <v>14.727272727272791</v>
      </c>
      <c r="AY37">
        <v>20.72727272727283</v>
      </c>
      <c r="AZ37">
        <v>26.727272727272751</v>
      </c>
      <c r="BA37">
        <v>14.72727272727249</v>
      </c>
      <c r="BB37">
        <v>20.72727272727262</v>
      </c>
      <c r="BC37">
        <v>5.3563636363636764</v>
      </c>
      <c r="BD37">
        <v>2.061818181818146</v>
      </c>
      <c r="BE37">
        <v>7.6581818181818457</v>
      </c>
      <c r="BF37">
        <v>5.6509090909091659</v>
      </c>
    </row>
    <row r="38" spans="1:58" x14ac:dyDescent="0.2">
      <c r="A38">
        <v>313</v>
      </c>
      <c r="B38">
        <v>25</v>
      </c>
      <c r="C38">
        <v>375</v>
      </c>
      <c r="D38">
        <v>250</v>
      </c>
      <c r="E38">
        <v>375</v>
      </c>
      <c r="F38">
        <f t="shared" si="11"/>
        <v>625</v>
      </c>
      <c r="G38">
        <f t="shared" si="11"/>
        <v>625</v>
      </c>
      <c r="H38">
        <v>1000</v>
      </c>
      <c r="I38">
        <v>0.45</v>
      </c>
      <c r="J38">
        <v>0.3</v>
      </c>
      <c r="K38">
        <v>0.45</v>
      </c>
      <c r="L38">
        <f t="shared" si="1"/>
        <v>0.75</v>
      </c>
      <c r="M38">
        <f t="shared" si="2"/>
        <v>0.75</v>
      </c>
      <c r="N38">
        <v>1.2</v>
      </c>
      <c r="O38">
        <f t="shared" si="3"/>
        <v>0</v>
      </c>
      <c r="P38">
        <f t="shared" si="4"/>
        <v>4.9999999999999989E-2</v>
      </c>
      <c r="Q38">
        <f t="shared" si="5"/>
        <v>0</v>
      </c>
      <c r="R38">
        <f t="shared" si="5"/>
        <v>0.15000000000000002</v>
      </c>
      <c r="S38">
        <f t="shared" si="6"/>
        <v>0.19999999999999996</v>
      </c>
      <c r="T38">
        <f t="shared" si="7"/>
        <v>0.19999999999999996</v>
      </c>
      <c r="U38">
        <f t="shared" si="8"/>
        <v>0.19999999999999996</v>
      </c>
      <c r="V38">
        <f t="shared" si="9"/>
        <v>4.9999999999999989E-2</v>
      </c>
      <c r="W38">
        <f t="shared" si="10"/>
        <v>0.32015621187164239</v>
      </c>
      <c r="X38">
        <v>0</v>
      </c>
      <c r="Y38">
        <v>54</v>
      </c>
      <c r="Z38">
        <v>40.799999999999997</v>
      </c>
      <c r="AA38">
        <v>118.8</v>
      </c>
      <c r="AB38">
        <v>0</v>
      </c>
      <c r="AC38">
        <v>0</v>
      </c>
      <c r="AD38">
        <v>0</v>
      </c>
      <c r="AE38">
        <v>0</v>
      </c>
      <c r="AF38">
        <v>23.999999999999911</v>
      </c>
      <c r="AG38">
        <v>144</v>
      </c>
      <c r="AH38">
        <v>167.99999999999989</v>
      </c>
      <c r="AI38">
        <v>3.7999999999999958</v>
      </c>
      <c r="AJ38">
        <v>15.19999999999999</v>
      </c>
      <c r="AK38">
        <v>12.6</v>
      </c>
      <c r="AL38">
        <v>8.4000000000000039</v>
      </c>
      <c r="AM38">
        <v>39.999999999999993</v>
      </c>
      <c r="AN38">
        <v>180</v>
      </c>
      <c r="AO38">
        <v>0</v>
      </c>
      <c r="AP38">
        <v>0</v>
      </c>
      <c r="AQ38">
        <v>15.119999999999949</v>
      </c>
      <c r="AR38">
        <v>10.07999999999997</v>
      </c>
      <c r="AS38">
        <v>4.5599999999999357</v>
      </c>
      <c r="AT38">
        <v>18.239999999999739</v>
      </c>
      <c r="AU38">
        <v>0</v>
      </c>
      <c r="AV38">
        <v>0</v>
      </c>
      <c r="AW38">
        <v>25.199999999999921</v>
      </c>
      <c r="AX38">
        <v>22.799999999999681</v>
      </c>
      <c r="AY38">
        <v>23.999999999999801</v>
      </c>
      <c r="AZ38">
        <v>25.199999999999989</v>
      </c>
      <c r="BA38">
        <v>22.799999999999841</v>
      </c>
      <c r="BB38">
        <v>23.999999999999911</v>
      </c>
      <c r="BC38">
        <v>2.2799999999999678</v>
      </c>
      <c r="BD38">
        <v>9.1199999999998713</v>
      </c>
      <c r="BE38">
        <v>7.5599999999999756</v>
      </c>
      <c r="BF38">
        <v>5.039999999999984</v>
      </c>
    </row>
    <row r="39" spans="1:58" x14ac:dyDescent="0.2">
      <c r="A39">
        <v>313</v>
      </c>
      <c r="B39">
        <v>22.5</v>
      </c>
      <c r="C39">
        <v>375</v>
      </c>
      <c r="D39">
        <v>250</v>
      </c>
      <c r="E39">
        <v>375</v>
      </c>
      <c r="F39">
        <f t="shared" si="11"/>
        <v>625</v>
      </c>
      <c r="G39">
        <f t="shared" si="11"/>
        <v>625</v>
      </c>
      <c r="H39">
        <v>1000</v>
      </c>
      <c r="I39">
        <v>0.5</v>
      </c>
      <c r="J39">
        <v>0.33333333333333331</v>
      </c>
      <c r="K39">
        <v>0.5</v>
      </c>
      <c r="L39">
        <f t="shared" si="1"/>
        <v>0.83333333333333326</v>
      </c>
      <c r="M39">
        <f t="shared" si="2"/>
        <v>0.83333333333333326</v>
      </c>
      <c r="N39">
        <v>1.333333333333333</v>
      </c>
      <c r="O39">
        <f t="shared" si="3"/>
        <v>0</v>
      </c>
      <c r="P39">
        <f t="shared" si="4"/>
        <v>1.6666666666666663E-2</v>
      </c>
      <c r="Q39">
        <f t="shared" si="5"/>
        <v>0</v>
      </c>
      <c r="R39">
        <f t="shared" si="5"/>
        <v>6.6666666666666763E-2</v>
      </c>
      <c r="S39">
        <f t="shared" si="6"/>
        <v>0.1166666666666667</v>
      </c>
      <c r="T39">
        <f t="shared" si="7"/>
        <v>0.16666666666666696</v>
      </c>
      <c r="U39">
        <f t="shared" si="8"/>
        <v>0.16666666666666696</v>
      </c>
      <c r="V39">
        <f t="shared" si="9"/>
        <v>1.6666666666666663E-2</v>
      </c>
      <c r="W39">
        <f t="shared" si="10"/>
        <v>0.21408720964441907</v>
      </c>
      <c r="X39">
        <v>0</v>
      </c>
      <c r="Y39">
        <v>60</v>
      </c>
      <c r="Z39">
        <v>19.2</v>
      </c>
      <c r="AA39">
        <v>76.8</v>
      </c>
      <c r="AB39">
        <v>0</v>
      </c>
      <c r="AC39">
        <v>0</v>
      </c>
      <c r="AD39">
        <v>0</v>
      </c>
      <c r="AE39">
        <v>0</v>
      </c>
      <c r="AF39">
        <v>19.999999999999801</v>
      </c>
      <c r="AG39">
        <v>160</v>
      </c>
      <c r="AH39">
        <v>179.9999999999998</v>
      </c>
      <c r="AI39">
        <v>0</v>
      </c>
      <c r="AJ39">
        <v>0.66666666666665708</v>
      </c>
      <c r="AK39">
        <v>30.4</v>
      </c>
      <c r="AL39">
        <v>2.2666666666666631</v>
      </c>
      <c r="AM39">
        <v>33.333333333333321</v>
      </c>
      <c r="AN39">
        <v>180</v>
      </c>
      <c r="AO39">
        <v>0</v>
      </c>
      <c r="AP39">
        <v>0</v>
      </c>
      <c r="AQ39">
        <v>34.07999999999997</v>
      </c>
      <c r="AR39">
        <v>2.7200000000000322</v>
      </c>
      <c r="AS39">
        <v>0</v>
      </c>
      <c r="AT39">
        <v>0.8</v>
      </c>
      <c r="AU39">
        <v>2.4</v>
      </c>
      <c r="AV39">
        <v>0</v>
      </c>
      <c r="AW39">
        <v>36.799999999999997</v>
      </c>
      <c r="AX39">
        <v>3.2</v>
      </c>
      <c r="AY39">
        <v>20</v>
      </c>
      <c r="AZ39">
        <v>36.800000000000011</v>
      </c>
      <c r="BA39">
        <v>3.1999999999995912</v>
      </c>
      <c r="BB39">
        <v>19.999999999999801</v>
      </c>
      <c r="BC39">
        <v>0</v>
      </c>
      <c r="BD39">
        <v>0.4</v>
      </c>
      <c r="BE39">
        <v>18.239999999999981</v>
      </c>
      <c r="BF39">
        <v>1.3600000000000161</v>
      </c>
    </row>
    <row r="40" spans="1:58" x14ac:dyDescent="0.2">
      <c r="A40">
        <v>313</v>
      </c>
      <c r="B40">
        <v>20</v>
      </c>
      <c r="C40">
        <v>375</v>
      </c>
      <c r="D40">
        <v>250</v>
      </c>
      <c r="E40">
        <v>375</v>
      </c>
      <c r="F40">
        <f t="shared" si="11"/>
        <v>625</v>
      </c>
      <c r="G40">
        <f t="shared" si="11"/>
        <v>625</v>
      </c>
      <c r="H40">
        <v>1000</v>
      </c>
      <c r="I40">
        <v>0.5625</v>
      </c>
      <c r="J40">
        <v>0.375</v>
      </c>
      <c r="K40">
        <v>0.5625</v>
      </c>
      <c r="L40">
        <f t="shared" si="1"/>
        <v>0.9375</v>
      </c>
      <c r="M40">
        <f t="shared" si="2"/>
        <v>0.9375</v>
      </c>
      <c r="N40">
        <v>1.5</v>
      </c>
      <c r="O40">
        <f t="shared" si="3"/>
        <v>1.2499999999999956E-2</v>
      </c>
      <c r="P40">
        <f t="shared" si="4"/>
        <v>0</v>
      </c>
      <c r="Q40">
        <f t="shared" si="5"/>
        <v>0</v>
      </c>
      <c r="R40">
        <f t="shared" si="5"/>
        <v>0</v>
      </c>
      <c r="S40">
        <f t="shared" si="6"/>
        <v>1.2499999999999956E-2</v>
      </c>
      <c r="T40">
        <f t="shared" si="7"/>
        <v>0</v>
      </c>
      <c r="U40">
        <f t="shared" si="8"/>
        <v>1.2499999999999956E-2</v>
      </c>
      <c r="V40">
        <f t="shared" si="9"/>
        <v>1.2499999999999956E-2</v>
      </c>
      <c r="W40">
        <f t="shared" si="10"/>
        <v>1.2499999999999956E-2</v>
      </c>
      <c r="X40">
        <v>0</v>
      </c>
      <c r="Y40">
        <v>52.8</v>
      </c>
      <c r="Z40">
        <v>103.2</v>
      </c>
      <c r="AA40">
        <v>58.8</v>
      </c>
      <c r="AB40">
        <v>0</v>
      </c>
      <c r="AC40">
        <v>0</v>
      </c>
      <c r="AD40">
        <v>0</v>
      </c>
      <c r="AE40">
        <v>0</v>
      </c>
      <c r="AF40">
        <v>2.999999999999801</v>
      </c>
      <c r="AG40">
        <v>180</v>
      </c>
      <c r="AH40">
        <v>182.9999999999998</v>
      </c>
      <c r="AI40">
        <v>0.24999999999998099</v>
      </c>
      <c r="AJ40">
        <v>3.0500000000000012</v>
      </c>
      <c r="AK40">
        <v>0.20250000000000171</v>
      </c>
      <c r="AL40">
        <v>1.2587499999999801</v>
      </c>
      <c r="AM40">
        <v>4.761249999999964</v>
      </c>
      <c r="AN40">
        <v>180</v>
      </c>
      <c r="AO40">
        <v>0</v>
      </c>
      <c r="AP40">
        <v>2.1599999999999349</v>
      </c>
      <c r="AQ40">
        <v>0.24300000000002911</v>
      </c>
      <c r="AR40">
        <v>1.7970000000000359</v>
      </c>
      <c r="AS40">
        <v>0.29999999999983828</v>
      </c>
      <c r="AT40">
        <v>1.5</v>
      </c>
      <c r="AU40">
        <v>0</v>
      </c>
      <c r="AV40">
        <v>0</v>
      </c>
      <c r="AW40">
        <v>4.2</v>
      </c>
      <c r="AX40">
        <v>1.799999999999838</v>
      </c>
      <c r="AY40">
        <v>2.9999999999999192</v>
      </c>
      <c r="AZ40">
        <v>4.1999999999999318</v>
      </c>
      <c r="BA40">
        <v>1.7999999999996701</v>
      </c>
      <c r="BB40">
        <v>2.999999999999801</v>
      </c>
      <c r="BC40">
        <v>0.14999999999991909</v>
      </c>
      <c r="BD40">
        <v>1.8299999999999681</v>
      </c>
      <c r="BE40">
        <v>0.1215000000000146</v>
      </c>
      <c r="BF40">
        <v>0.89850000000001784</v>
      </c>
    </row>
    <row r="41" spans="1:58" x14ac:dyDescent="0.2">
      <c r="A41">
        <v>314</v>
      </c>
      <c r="B41">
        <v>50</v>
      </c>
      <c r="C41">
        <v>208.33333333333329</v>
      </c>
      <c r="D41">
        <v>250</v>
      </c>
      <c r="E41">
        <v>208.33333333333329</v>
      </c>
      <c r="F41">
        <f t="shared" si="11"/>
        <v>458.33333333333326</v>
      </c>
      <c r="G41">
        <f t="shared" si="11"/>
        <v>458.33333333333326</v>
      </c>
      <c r="H41">
        <v>666.66666666666674</v>
      </c>
      <c r="I41">
        <v>0.125</v>
      </c>
      <c r="J41">
        <v>0.15</v>
      </c>
      <c r="K41">
        <v>0.125</v>
      </c>
      <c r="L41">
        <f t="shared" si="1"/>
        <v>0.27500000000000002</v>
      </c>
      <c r="M41">
        <f t="shared" si="2"/>
        <v>0.27500000000000002</v>
      </c>
      <c r="N41">
        <v>0.4</v>
      </c>
      <c r="O41">
        <f t="shared" si="3"/>
        <v>7.4999999999999997E-2</v>
      </c>
      <c r="P41">
        <f t="shared" si="4"/>
        <v>0</v>
      </c>
      <c r="Q41">
        <f t="shared" si="5"/>
        <v>2.4999999999999994E-2</v>
      </c>
      <c r="R41">
        <f t="shared" si="5"/>
        <v>0.125</v>
      </c>
      <c r="S41">
        <f t="shared" si="6"/>
        <v>0.17499999999999999</v>
      </c>
      <c r="T41">
        <f t="shared" si="7"/>
        <v>9.9999999999999978E-2</v>
      </c>
      <c r="U41">
        <f t="shared" si="8"/>
        <v>0.12499999999999997</v>
      </c>
      <c r="V41">
        <f t="shared" si="9"/>
        <v>7.9056941504209485E-2</v>
      </c>
      <c r="W41">
        <f t="shared" si="10"/>
        <v>0.23717082451262844</v>
      </c>
      <c r="X41">
        <v>0</v>
      </c>
      <c r="Y41">
        <v>115.2</v>
      </c>
      <c r="Z41">
        <v>21.6</v>
      </c>
      <c r="AA41">
        <v>44.4</v>
      </c>
      <c r="AB41">
        <v>0</v>
      </c>
      <c r="AC41">
        <v>0</v>
      </c>
      <c r="AD41">
        <v>0</v>
      </c>
      <c r="AE41">
        <v>0</v>
      </c>
      <c r="AF41">
        <v>29.999999999999641</v>
      </c>
      <c r="AG41">
        <v>48</v>
      </c>
      <c r="AH41">
        <v>77.999999999999631</v>
      </c>
      <c r="AI41">
        <v>8.5000000000000107</v>
      </c>
      <c r="AJ41">
        <v>29.800000000000011</v>
      </c>
      <c r="AK41">
        <v>7.8099999999999907</v>
      </c>
      <c r="AL41">
        <v>3.2809999999999979</v>
      </c>
      <c r="AM41">
        <v>49.391000000000012</v>
      </c>
      <c r="AN41">
        <v>180</v>
      </c>
      <c r="AO41">
        <v>0</v>
      </c>
      <c r="AP41">
        <v>6.2399999999999034</v>
      </c>
      <c r="AQ41">
        <v>1.091999999999987</v>
      </c>
      <c r="AR41">
        <v>4.6679999999998678</v>
      </c>
      <c r="AS41">
        <v>10.200000000000159</v>
      </c>
      <c r="AT41">
        <v>29.52000000000011</v>
      </c>
      <c r="AU41">
        <v>8.2799999999998875</v>
      </c>
      <c r="AV41">
        <v>0</v>
      </c>
      <c r="AW41">
        <v>11.99999999999976</v>
      </c>
      <c r="AX41">
        <v>48.000000000000163</v>
      </c>
      <c r="AY41">
        <v>29.999999999999961</v>
      </c>
      <c r="AZ41">
        <v>11.99999999999959</v>
      </c>
      <c r="BA41">
        <v>48</v>
      </c>
      <c r="BB41">
        <v>29.999999999999801</v>
      </c>
      <c r="BC41">
        <v>5.1000000000000796</v>
      </c>
      <c r="BD41">
        <v>17.88000000000001</v>
      </c>
      <c r="BE41">
        <v>4.6859999999999369</v>
      </c>
      <c r="BF41">
        <v>2.3339999999999339</v>
      </c>
    </row>
    <row r="42" spans="1:58" x14ac:dyDescent="0.2">
      <c r="A42">
        <v>314</v>
      </c>
      <c r="B42">
        <v>47.5</v>
      </c>
      <c r="C42">
        <v>208.33333333333329</v>
      </c>
      <c r="D42">
        <v>250</v>
      </c>
      <c r="E42">
        <v>208.33333333333329</v>
      </c>
      <c r="F42">
        <f t="shared" si="11"/>
        <v>458.33333333333326</v>
      </c>
      <c r="G42">
        <f t="shared" si="11"/>
        <v>458.33333333333326</v>
      </c>
      <c r="H42">
        <v>666.66666666666674</v>
      </c>
      <c r="I42">
        <v>0.1315789473684211</v>
      </c>
      <c r="J42">
        <v>0.15789473684210531</v>
      </c>
      <c r="K42">
        <v>0.1315789473684211</v>
      </c>
      <c r="L42">
        <f t="shared" si="1"/>
        <v>0.28947368421052644</v>
      </c>
      <c r="M42">
        <f t="shared" si="2"/>
        <v>0.28947368421052644</v>
      </c>
      <c r="N42">
        <v>0.4210526315789474</v>
      </c>
      <c r="O42">
        <f t="shared" si="3"/>
        <v>8.1578947368421098E-2</v>
      </c>
      <c r="P42">
        <f t="shared" si="4"/>
        <v>7.8947368421053155E-3</v>
      </c>
      <c r="Q42">
        <f t="shared" si="5"/>
        <v>3.1578947368421095E-2</v>
      </c>
      <c r="R42">
        <f t="shared" si="5"/>
        <v>0.11052631578947358</v>
      </c>
      <c r="S42">
        <f t="shared" si="6"/>
        <v>0.16052631578947357</v>
      </c>
      <c r="T42">
        <f t="shared" si="7"/>
        <v>7.8947368421052599E-2</v>
      </c>
      <c r="U42">
        <f t="shared" si="8"/>
        <v>0.11352449794801577</v>
      </c>
      <c r="V42">
        <f t="shared" si="9"/>
        <v>8.7833259306729736E-2</v>
      </c>
      <c r="W42">
        <f t="shared" si="10"/>
        <v>0.21027946053655749</v>
      </c>
      <c r="X42">
        <v>0</v>
      </c>
      <c r="Y42">
        <v>1.2</v>
      </c>
      <c r="Z42">
        <v>27.6</v>
      </c>
      <c r="AA42">
        <v>52.8</v>
      </c>
      <c r="AB42">
        <v>0</v>
      </c>
      <c r="AC42">
        <v>0</v>
      </c>
      <c r="AD42">
        <v>0</v>
      </c>
      <c r="AE42">
        <v>0</v>
      </c>
      <c r="AF42">
        <v>29.052631578946912</v>
      </c>
      <c r="AG42">
        <v>50.526315789473678</v>
      </c>
      <c r="AH42">
        <v>79.578947368420586</v>
      </c>
      <c r="AI42">
        <v>13.606481994459839</v>
      </c>
      <c r="AJ42">
        <v>21.83562326869805</v>
      </c>
      <c r="AK42">
        <v>8.7627700831024828</v>
      </c>
      <c r="AL42">
        <v>3.8032243767312881</v>
      </c>
      <c r="AM42">
        <v>48.008099722991673</v>
      </c>
      <c r="AN42">
        <v>180</v>
      </c>
      <c r="AO42">
        <v>0</v>
      </c>
      <c r="AP42">
        <v>2.0715789473683501</v>
      </c>
      <c r="AQ42">
        <v>0.32163988919669972</v>
      </c>
      <c r="AR42">
        <v>5.0594127423822002</v>
      </c>
      <c r="AS42">
        <v>16.327778393351199</v>
      </c>
      <c r="AT42">
        <v>24.13116897506924</v>
      </c>
      <c r="AU42">
        <v>10.193684210526079</v>
      </c>
      <c r="AV42">
        <v>0</v>
      </c>
      <c r="AW42">
        <v>7.4526315789472486</v>
      </c>
      <c r="AX42">
        <v>50.652631578946533</v>
      </c>
      <c r="AY42">
        <v>29.05263157894689</v>
      </c>
      <c r="AZ42">
        <v>7.4526315789472051</v>
      </c>
      <c r="BA42">
        <v>50.652631578946639</v>
      </c>
      <c r="BB42">
        <v>29.052631578946919</v>
      </c>
      <c r="BC42">
        <v>8.1638891966755995</v>
      </c>
      <c r="BD42">
        <v>13.10137396121879</v>
      </c>
      <c r="BE42">
        <v>5.2576620498613922</v>
      </c>
      <c r="BF42">
        <v>2.5297063711911001</v>
      </c>
    </row>
    <row r="43" spans="1:58" x14ac:dyDescent="0.2">
      <c r="A43">
        <v>314</v>
      </c>
      <c r="B43">
        <v>45</v>
      </c>
      <c r="C43">
        <v>208.33333333333329</v>
      </c>
      <c r="D43">
        <v>250</v>
      </c>
      <c r="E43">
        <v>208.33333333333329</v>
      </c>
      <c r="F43">
        <f t="shared" si="11"/>
        <v>458.33333333333326</v>
      </c>
      <c r="G43">
        <f t="shared" si="11"/>
        <v>458.33333333333326</v>
      </c>
      <c r="H43">
        <v>666.66666666666674</v>
      </c>
      <c r="I43">
        <v>0.1388888888888889</v>
      </c>
      <c r="J43">
        <v>0.16666666666666671</v>
      </c>
      <c r="K43">
        <v>0.1388888888888889</v>
      </c>
      <c r="L43">
        <f t="shared" si="1"/>
        <v>0.30555555555555558</v>
      </c>
      <c r="M43">
        <f t="shared" si="2"/>
        <v>0.30555555555555558</v>
      </c>
      <c r="N43">
        <v>0.44444444444444448</v>
      </c>
      <c r="O43">
        <f t="shared" si="3"/>
        <v>8.8888888888888892E-2</v>
      </c>
      <c r="P43">
        <f t="shared" si="4"/>
        <v>1.6666666666666718E-2</v>
      </c>
      <c r="Q43">
        <f t="shared" si="5"/>
        <v>3.888888888888889E-2</v>
      </c>
      <c r="R43">
        <f t="shared" si="5"/>
        <v>9.4444444444444442E-2</v>
      </c>
      <c r="S43">
        <f t="shared" si="6"/>
        <v>0.14444444444444443</v>
      </c>
      <c r="T43">
        <f t="shared" si="7"/>
        <v>5.5555555555555525E-2</v>
      </c>
      <c r="U43">
        <f t="shared" si="8"/>
        <v>0.10482201257840669</v>
      </c>
      <c r="V43">
        <f t="shared" si="9"/>
        <v>9.8444695259274184E-2</v>
      </c>
      <c r="W43">
        <f t="shared" si="10"/>
        <v>0.18130187635645242</v>
      </c>
      <c r="X43">
        <v>0</v>
      </c>
      <c r="Y43">
        <v>1.2</v>
      </c>
      <c r="Z43">
        <v>31.2</v>
      </c>
      <c r="AA43">
        <v>56.4</v>
      </c>
      <c r="AB43">
        <v>0</v>
      </c>
      <c r="AC43">
        <v>0</v>
      </c>
      <c r="AD43">
        <v>0</v>
      </c>
      <c r="AE43">
        <v>0</v>
      </c>
      <c r="AF43">
        <v>27.999999999999339</v>
      </c>
      <c r="AG43">
        <v>53.333333333333343</v>
      </c>
      <c r="AH43">
        <v>81.333333333332689</v>
      </c>
      <c r="AI43">
        <v>12.93679012345676</v>
      </c>
      <c r="AJ43">
        <v>18.774320987654331</v>
      </c>
      <c r="AK43">
        <v>9.4148148148148056</v>
      </c>
      <c r="AL43">
        <v>4.9963456790123262</v>
      </c>
      <c r="AM43">
        <v>46.122271604938227</v>
      </c>
      <c r="AN43">
        <v>180</v>
      </c>
      <c r="AO43">
        <v>0</v>
      </c>
      <c r="AP43">
        <v>2.7733333333333978</v>
      </c>
      <c r="AQ43">
        <v>0.5777777777776969</v>
      </c>
      <c r="AR43">
        <v>6.6488888888887434</v>
      </c>
      <c r="AS43">
        <v>15.524148148147971</v>
      </c>
      <c r="AT43">
        <v>19.75585185185167</v>
      </c>
      <c r="AU43">
        <v>10.719999999999709</v>
      </c>
      <c r="AV43">
        <v>0</v>
      </c>
      <c r="AW43">
        <v>9.9999999999998384</v>
      </c>
      <c r="AX43">
        <v>45.999999999999353</v>
      </c>
      <c r="AY43">
        <v>27.999999999999591</v>
      </c>
      <c r="AZ43">
        <v>9.9999999999995168</v>
      </c>
      <c r="BA43">
        <v>45.99999999999919</v>
      </c>
      <c r="BB43">
        <v>27.99999999999935</v>
      </c>
      <c r="BC43">
        <v>7.7620740740739871</v>
      </c>
      <c r="BD43">
        <v>11.26459259259253</v>
      </c>
      <c r="BE43">
        <v>5.6488888888887034</v>
      </c>
      <c r="BF43">
        <v>3.3244444444443721</v>
      </c>
    </row>
    <row r="44" spans="1:58" x14ac:dyDescent="0.2">
      <c r="A44">
        <v>314</v>
      </c>
      <c r="B44">
        <v>42.5</v>
      </c>
      <c r="C44">
        <v>208.33333333333329</v>
      </c>
      <c r="D44">
        <v>250</v>
      </c>
      <c r="E44">
        <v>208.33333333333329</v>
      </c>
      <c r="F44">
        <f t="shared" si="11"/>
        <v>458.33333333333326</v>
      </c>
      <c r="G44">
        <f t="shared" si="11"/>
        <v>458.33333333333326</v>
      </c>
      <c r="H44">
        <v>666.66666666666674</v>
      </c>
      <c r="I44">
        <v>0.1470588235294118</v>
      </c>
      <c r="J44">
        <v>0.1764705882352941</v>
      </c>
      <c r="K44">
        <v>0.1470588235294118</v>
      </c>
      <c r="L44">
        <f t="shared" si="1"/>
        <v>0.3235294117647059</v>
      </c>
      <c r="M44">
        <f t="shared" si="2"/>
        <v>0.3235294117647059</v>
      </c>
      <c r="N44">
        <v>0.47058823529411759</v>
      </c>
      <c r="O44">
        <f t="shared" si="3"/>
        <v>9.7058823529411795E-2</v>
      </c>
      <c r="P44">
        <f t="shared" si="4"/>
        <v>2.6470588235294107E-2</v>
      </c>
      <c r="Q44">
        <f t="shared" si="5"/>
        <v>4.7058823529411792E-2</v>
      </c>
      <c r="R44">
        <f t="shared" si="5"/>
        <v>7.6470588235294124E-2</v>
      </c>
      <c r="S44">
        <f t="shared" si="6"/>
        <v>0.12647058823529411</v>
      </c>
      <c r="T44">
        <f t="shared" si="7"/>
        <v>2.9411764705882415E-2</v>
      </c>
      <c r="U44">
        <f t="shared" si="8"/>
        <v>0.10141729205627456</v>
      </c>
      <c r="V44">
        <f t="shared" si="9"/>
        <v>0.11106592699117183</v>
      </c>
      <c r="W44">
        <f t="shared" si="10"/>
        <v>0.15069045244058232</v>
      </c>
      <c r="X44">
        <v>0</v>
      </c>
      <c r="Y44">
        <v>115.2</v>
      </c>
      <c r="Z44">
        <v>32.4</v>
      </c>
      <c r="AA44">
        <v>51.6</v>
      </c>
      <c r="AB44">
        <v>0</v>
      </c>
      <c r="AC44">
        <v>0</v>
      </c>
      <c r="AD44">
        <v>0</v>
      </c>
      <c r="AE44">
        <v>0</v>
      </c>
      <c r="AF44">
        <v>26.823529411764259</v>
      </c>
      <c r="AG44">
        <v>56.470588235294123</v>
      </c>
      <c r="AH44">
        <v>83.294117647058386</v>
      </c>
      <c r="AI44">
        <v>8.70325259515573</v>
      </c>
      <c r="AJ44">
        <v>23.19086505190311</v>
      </c>
      <c r="AK44">
        <v>10.96382006920415</v>
      </c>
      <c r="AL44">
        <v>1.0803598615917269</v>
      </c>
      <c r="AM44">
        <v>43.938297577854719</v>
      </c>
      <c r="AN44">
        <v>180</v>
      </c>
      <c r="AO44">
        <v>0</v>
      </c>
      <c r="AP44">
        <v>8.3576470588235274</v>
      </c>
      <c r="AQ44">
        <v>6.1129411764706472</v>
      </c>
      <c r="AR44">
        <v>1.552941176470308</v>
      </c>
      <c r="AS44">
        <v>10.44390311418659</v>
      </c>
      <c r="AT44">
        <v>19.471391003460059</v>
      </c>
      <c r="AU44">
        <v>7.7082352941175083</v>
      </c>
      <c r="AV44">
        <v>0</v>
      </c>
      <c r="AW44">
        <v>16.023529411764478</v>
      </c>
      <c r="AX44">
        <v>37.623529411764153</v>
      </c>
      <c r="AY44">
        <v>26.823529411764319</v>
      </c>
      <c r="AZ44">
        <v>16.023529411764461</v>
      </c>
      <c r="BA44">
        <v>37.623529411764217</v>
      </c>
      <c r="BB44">
        <v>26.823529411764341</v>
      </c>
      <c r="BC44">
        <v>5.2219515570932948</v>
      </c>
      <c r="BD44">
        <v>13.91451903114179</v>
      </c>
      <c r="BE44">
        <v>6.9105882352940782</v>
      </c>
      <c r="BF44">
        <v>0.7764705882351538</v>
      </c>
    </row>
    <row r="45" spans="1:58" x14ac:dyDescent="0.2">
      <c r="A45">
        <v>314</v>
      </c>
      <c r="B45">
        <v>40</v>
      </c>
      <c r="C45">
        <v>208.33333333333329</v>
      </c>
      <c r="D45">
        <v>250</v>
      </c>
      <c r="E45">
        <v>208.33333333333329</v>
      </c>
      <c r="F45">
        <f t="shared" si="11"/>
        <v>458.33333333333326</v>
      </c>
      <c r="G45">
        <f t="shared" si="11"/>
        <v>458.33333333333326</v>
      </c>
      <c r="H45">
        <v>666.66666666666674</v>
      </c>
      <c r="I45">
        <v>0.15625</v>
      </c>
      <c r="J45">
        <v>0.1875</v>
      </c>
      <c r="K45">
        <v>0.15625</v>
      </c>
      <c r="L45">
        <f t="shared" si="1"/>
        <v>0.34375</v>
      </c>
      <c r="M45">
        <f t="shared" si="2"/>
        <v>0.34375</v>
      </c>
      <c r="N45">
        <v>0.5</v>
      </c>
      <c r="O45">
        <f t="shared" si="3"/>
        <v>0.10625</v>
      </c>
      <c r="P45">
        <f t="shared" si="4"/>
        <v>3.7500000000000006E-2</v>
      </c>
      <c r="Q45">
        <f t="shared" si="5"/>
        <v>5.6249999999999994E-2</v>
      </c>
      <c r="R45">
        <f t="shared" si="5"/>
        <v>5.6250000000000022E-2</v>
      </c>
      <c r="S45">
        <f t="shared" si="6"/>
        <v>0.10625000000000001</v>
      </c>
      <c r="T45">
        <f t="shared" si="7"/>
        <v>0</v>
      </c>
      <c r="U45">
        <f t="shared" si="8"/>
        <v>0.10625</v>
      </c>
      <c r="V45">
        <f t="shared" si="9"/>
        <v>0.12593401049756178</v>
      </c>
      <c r="W45">
        <f t="shared" si="10"/>
        <v>0.12022115038544592</v>
      </c>
      <c r="X45">
        <v>0</v>
      </c>
      <c r="Y45">
        <v>1.2</v>
      </c>
      <c r="Z45">
        <v>30</v>
      </c>
      <c r="AA45">
        <v>55.2</v>
      </c>
      <c r="AB45">
        <v>0</v>
      </c>
      <c r="AC45">
        <v>0</v>
      </c>
      <c r="AD45">
        <v>0</v>
      </c>
      <c r="AE45">
        <v>0</v>
      </c>
      <c r="AF45">
        <v>25.49999999999984</v>
      </c>
      <c r="AG45">
        <v>60</v>
      </c>
      <c r="AH45">
        <v>85.499999999999829</v>
      </c>
      <c r="AI45">
        <v>13.507812500000011</v>
      </c>
      <c r="AJ45">
        <v>17.467187500000001</v>
      </c>
      <c r="AK45">
        <v>10.460625</v>
      </c>
      <c r="AL45">
        <v>0.95093749999999966</v>
      </c>
      <c r="AM45">
        <v>42.386562499999997</v>
      </c>
      <c r="AN45">
        <v>180</v>
      </c>
      <c r="AO45">
        <v>0</v>
      </c>
      <c r="AP45">
        <v>4.4399999999999027</v>
      </c>
      <c r="AQ45">
        <v>0.58274999999978006</v>
      </c>
      <c r="AR45">
        <v>1.277249999999994</v>
      </c>
      <c r="AS45">
        <v>16.209375000000001</v>
      </c>
      <c r="AT45">
        <v>16.520624999999971</v>
      </c>
      <c r="AU45">
        <v>11.969999999999949</v>
      </c>
      <c r="AV45">
        <v>0</v>
      </c>
      <c r="AW45">
        <v>6.2999999999996756</v>
      </c>
      <c r="AX45">
        <v>44.699999999999918</v>
      </c>
      <c r="AY45">
        <v>25.499999999999801</v>
      </c>
      <c r="AZ45">
        <v>6.2999999999997556</v>
      </c>
      <c r="BA45">
        <v>44.699999999999918</v>
      </c>
      <c r="BB45">
        <v>25.49999999999984</v>
      </c>
      <c r="BC45">
        <v>8.1046875000000007</v>
      </c>
      <c r="BD45">
        <v>10.480312499999931</v>
      </c>
      <c r="BE45">
        <v>6.2763749999998657</v>
      </c>
      <c r="BF45">
        <v>0.63862499999999678</v>
      </c>
    </row>
    <row r="46" spans="1:58" x14ac:dyDescent="0.2">
      <c r="A46">
        <v>314</v>
      </c>
      <c r="B46">
        <v>37.5</v>
      </c>
      <c r="C46">
        <v>208.33333333333329</v>
      </c>
      <c r="D46">
        <v>250</v>
      </c>
      <c r="E46">
        <v>208.33333333333329</v>
      </c>
      <c r="F46">
        <f t="shared" si="11"/>
        <v>458.33333333333326</v>
      </c>
      <c r="G46">
        <f t="shared" si="11"/>
        <v>458.33333333333326</v>
      </c>
      <c r="H46">
        <v>666.66666666666674</v>
      </c>
      <c r="I46">
        <v>0.16666666666666671</v>
      </c>
      <c r="J46">
        <v>0.2</v>
      </c>
      <c r="K46">
        <v>0.16666666666666671</v>
      </c>
      <c r="L46">
        <f t="shared" si="1"/>
        <v>0.3666666666666667</v>
      </c>
      <c r="M46">
        <f t="shared" si="2"/>
        <v>0.3666666666666667</v>
      </c>
      <c r="N46">
        <v>0.53333333333333344</v>
      </c>
      <c r="O46">
        <f t="shared" si="3"/>
        <v>0.11666666666666671</v>
      </c>
      <c r="P46">
        <f t="shared" si="4"/>
        <v>5.0000000000000017E-2</v>
      </c>
      <c r="Q46">
        <f t="shared" si="5"/>
        <v>6.6666666666666707E-2</v>
      </c>
      <c r="R46">
        <f t="shared" si="5"/>
        <v>3.3333333333333326E-2</v>
      </c>
      <c r="S46">
        <f t="shared" si="6"/>
        <v>8.3333333333333315E-2</v>
      </c>
      <c r="T46">
        <f t="shared" si="7"/>
        <v>3.3333333333333437E-2</v>
      </c>
      <c r="U46">
        <f t="shared" si="8"/>
        <v>0.12133516482134205</v>
      </c>
      <c r="V46">
        <f t="shared" si="9"/>
        <v>0.14337208778404384</v>
      </c>
      <c r="W46">
        <f t="shared" si="10"/>
        <v>9.574271077563383E-2</v>
      </c>
      <c r="X46">
        <v>0</v>
      </c>
      <c r="Y46">
        <v>8.4</v>
      </c>
      <c r="Z46">
        <v>30</v>
      </c>
      <c r="AA46">
        <v>62.4</v>
      </c>
      <c r="AB46">
        <v>0</v>
      </c>
      <c r="AC46">
        <v>0</v>
      </c>
      <c r="AD46">
        <v>0</v>
      </c>
      <c r="AE46">
        <v>0</v>
      </c>
      <c r="AF46">
        <v>27.999999999999801</v>
      </c>
      <c r="AG46">
        <v>64</v>
      </c>
      <c r="AH46">
        <v>91.999999999999801</v>
      </c>
      <c r="AI46">
        <v>18.786666666666669</v>
      </c>
      <c r="AJ46">
        <v>11.69111111111113</v>
      </c>
      <c r="AK46">
        <v>14.2</v>
      </c>
      <c r="AL46">
        <v>1.333333333333343</v>
      </c>
      <c r="AM46">
        <v>46.011111111111141</v>
      </c>
      <c r="AN46">
        <v>180</v>
      </c>
      <c r="AO46">
        <v>0</v>
      </c>
      <c r="AP46">
        <v>0</v>
      </c>
      <c r="AQ46">
        <v>0</v>
      </c>
      <c r="AR46">
        <v>1.599999999999919</v>
      </c>
      <c r="AS46">
        <v>23.119999999999951</v>
      </c>
      <c r="AT46">
        <v>14.239999999999981</v>
      </c>
      <c r="AU46">
        <v>17.0399999999999</v>
      </c>
      <c r="AV46">
        <v>0</v>
      </c>
      <c r="AW46">
        <v>1.599999999999919</v>
      </c>
      <c r="AX46">
        <v>54.399999999999842</v>
      </c>
      <c r="AY46">
        <v>27.999999999999879</v>
      </c>
      <c r="AZ46">
        <v>1.599999999999923</v>
      </c>
      <c r="BA46">
        <v>54.400000000000013</v>
      </c>
      <c r="BB46">
        <v>27.999999999999961</v>
      </c>
      <c r="BC46">
        <v>11.559999999999979</v>
      </c>
      <c r="BD46">
        <v>7.1199999999999921</v>
      </c>
      <c r="BE46">
        <v>8.5199999999999516</v>
      </c>
      <c r="BF46">
        <v>0.79999999999995963</v>
      </c>
    </row>
    <row r="47" spans="1:58" x14ac:dyDescent="0.2">
      <c r="A47">
        <v>314</v>
      </c>
      <c r="B47">
        <v>35</v>
      </c>
      <c r="C47">
        <v>208.33333333333329</v>
      </c>
      <c r="D47">
        <v>250</v>
      </c>
      <c r="E47">
        <v>208.33333333333329</v>
      </c>
      <c r="F47">
        <f t="shared" si="11"/>
        <v>458.33333333333326</v>
      </c>
      <c r="G47">
        <f t="shared" si="11"/>
        <v>458.33333333333326</v>
      </c>
      <c r="H47">
        <v>666.66666666666674</v>
      </c>
      <c r="I47">
        <v>0.1785714285714286</v>
      </c>
      <c r="J47">
        <v>0.2142857142857143</v>
      </c>
      <c r="K47">
        <v>0.1785714285714286</v>
      </c>
      <c r="L47">
        <f t="shared" si="1"/>
        <v>0.3928571428571429</v>
      </c>
      <c r="M47">
        <f t="shared" si="2"/>
        <v>0.3928571428571429</v>
      </c>
      <c r="N47">
        <v>0.5714285714285714</v>
      </c>
      <c r="O47">
        <f t="shared" si="3"/>
        <v>0.12857142857142861</v>
      </c>
      <c r="P47">
        <f t="shared" si="4"/>
        <v>6.4285714285714307E-2</v>
      </c>
      <c r="Q47">
        <f t="shared" si="5"/>
        <v>7.8571428571428598E-2</v>
      </c>
      <c r="R47">
        <f t="shared" si="5"/>
        <v>7.1428571428571175E-3</v>
      </c>
      <c r="S47">
        <f t="shared" si="6"/>
        <v>5.7142857142857106E-2</v>
      </c>
      <c r="T47">
        <f t="shared" si="7"/>
        <v>7.1428571428571397E-2</v>
      </c>
      <c r="U47">
        <f t="shared" si="8"/>
        <v>0.14708043058552861</v>
      </c>
      <c r="V47">
        <f t="shared" si="9"/>
        <v>0.16381921344542455</v>
      </c>
      <c r="W47">
        <f t="shared" si="10"/>
        <v>9.1751661276179439E-2</v>
      </c>
      <c r="X47">
        <v>0</v>
      </c>
      <c r="Y47">
        <v>1.2</v>
      </c>
      <c r="Z47">
        <v>26.4</v>
      </c>
      <c r="AA47">
        <v>55.2</v>
      </c>
      <c r="AB47">
        <v>0</v>
      </c>
      <c r="AC47">
        <v>0</v>
      </c>
      <c r="AD47">
        <v>0</v>
      </c>
      <c r="AE47">
        <v>0</v>
      </c>
      <c r="AF47">
        <v>32.571428571428299</v>
      </c>
      <c r="AG47">
        <v>68.571428571428584</v>
      </c>
      <c r="AH47">
        <v>101.1428571428569</v>
      </c>
      <c r="AI47">
        <v>14.995346938775491</v>
      </c>
      <c r="AJ47">
        <v>19.688979591836691</v>
      </c>
      <c r="AK47">
        <v>13.11428571428573</v>
      </c>
      <c r="AL47">
        <v>5.6571428571428681</v>
      </c>
      <c r="AM47">
        <v>53.455755102040783</v>
      </c>
      <c r="AN47">
        <v>180</v>
      </c>
      <c r="AO47">
        <v>0</v>
      </c>
      <c r="AP47">
        <v>6.5828571428571498</v>
      </c>
      <c r="AQ47">
        <v>0</v>
      </c>
      <c r="AR47">
        <v>6.7885714285713528</v>
      </c>
      <c r="AS47">
        <v>18.411428571428971</v>
      </c>
      <c r="AT47">
        <v>17.622857142857129</v>
      </c>
      <c r="AU47">
        <v>15.7371428571428</v>
      </c>
      <c r="AV47">
        <v>0</v>
      </c>
      <c r="AW47">
        <v>13.371428571428501</v>
      </c>
      <c r="AX47">
        <v>51.771428571428913</v>
      </c>
      <c r="AY47">
        <v>32.571428571428697</v>
      </c>
      <c r="AZ47">
        <v>13.37142857142835</v>
      </c>
      <c r="BA47">
        <v>51.771428571428601</v>
      </c>
      <c r="BB47">
        <v>32.571428571428477</v>
      </c>
      <c r="BC47">
        <v>9.2057142857144854</v>
      </c>
      <c r="BD47">
        <v>12.10285714285714</v>
      </c>
      <c r="BE47">
        <v>7.8685714285714008</v>
      </c>
      <c r="BF47">
        <v>3.3942857142856759</v>
      </c>
    </row>
    <row r="48" spans="1:58" x14ac:dyDescent="0.2">
      <c r="A48">
        <v>314</v>
      </c>
      <c r="B48">
        <v>32.5</v>
      </c>
      <c r="C48">
        <v>208.33333333333329</v>
      </c>
      <c r="D48">
        <v>250</v>
      </c>
      <c r="E48">
        <v>208.33333333333329</v>
      </c>
      <c r="F48">
        <f t="shared" si="11"/>
        <v>458.33333333333326</v>
      </c>
      <c r="G48">
        <f t="shared" si="11"/>
        <v>458.33333333333326</v>
      </c>
      <c r="H48">
        <v>666.66666666666674</v>
      </c>
      <c r="I48">
        <v>0.19230769230769229</v>
      </c>
      <c r="J48">
        <v>0.23076923076923081</v>
      </c>
      <c r="K48">
        <v>0.19230769230769229</v>
      </c>
      <c r="L48">
        <f t="shared" si="1"/>
        <v>0.42307692307692313</v>
      </c>
      <c r="M48">
        <f t="shared" si="2"/>
        <v>0.42307692307692313</v>
      </c>
      <c r="N48">
        <v>0.61538461538461542</v>
      </c>
      <c r="O48">
        <f t="shared" si="3"/>
        <v>0.1423076923076923</v>
      </c>
      <c r="P48">
        <f t="shared" si="4"/>
        <v>8.0769230769230815E-2</v>
      </c>
      <c r="Q48">
        <f t="shared" si="5"/>
        <v>9.2307692307692285E-2</v>
      </c>
      <c r="R48">
        <f t="shared" si="5"/>
        <v>0</v>
      </c>
      <c r="S48">
        <f t="shared" si="6"/>
        <v>2.6923076923076883E-2</v>
      </c>
      <c r="T48">
        <f t="shared" si="7"/>
        <v>0.11538461538461542</v>
      </c>
      <c r="U48">
        <f t="shared" si="8"/>
        <v>0.18320777482791623</v>
      </c>
      <c r="V48">
        <f t="shared" si="9"/>
        <v>0.18787191910492021</v>
      </c>
      <c r="W48">
        <f t="shared" si="10"/>
        <v>0.1184840138519182</v>
      </c>
      <c r="X48">
        <v>0</v>
      </c>
      <c r="Y48">
        <v>1.2</v>
      </c>
      <c r="Z48">
        <v>69.599999999999994</v>
      </c>
      <c r="AA48">
        <v>79.2</v>
      </c>
      <c r="AB48">
        <v>0</v>
      </c>
      <c r="AC48">
        <v>0</v>
      </c>
      <c r="AD48">
        <v>0</v>
      </c>
      <c r="AE48">
        <v>0</v>
      </c>
      <c r="AF48">
        <v>37.846153846153747</v>
      </c>
      <c r="AG48">
        <v>73.846153846153854</v>
      </c>
      <c r="AH48">
        <v>111.69230769230759</v>
      </c>
      <c r="AI48">
        <v>20.318816568047371</v>
      </c>
      <c r="AJ48">
        <v>9.4657988165680482</v>
      </c>
      <c r="AK48">
        <v>22.911053254437871</v>
      </c>
      <c r="AL48">
        <v>8.7324023668639299</v>
      </c>
      <c r="AM48">
        <v>61.428071005917232</v>
      </c>
      <c r="AN48">
        <v>180</v>
      </c>
      <c r="AO48">
        <v>0</v>
      </c>
      <c r="AP48">
        <v>7.901538461538439</v>
      </c>
      <c r="AQ48">
        <v>23.150769230769221</v>
      </c>
      <c r="AR48">
        <v>11.59384615384624</v>
      </c>
      <c r="AS48">
        <v>24.382579881656739</v>
      </c>
      <c r="AT48">
        <v>3.4574201183431592</v>
      </c>
      <c r="AU48">
        <v>5.2061538461539181</v>
      </c>
      <c r="AV48">
        <v>0</v>
      </c>
      <c r="AW48">
        <v>42.646153846153908</v>
      </c>
      <c r="AX48">
        <v>33.046153846153821</v>
      </c>
      <c r="AY48">
        <v>37.846153846153868</v>
      </c>
      <c r="AZ48">
        <v>42.646153846153879</v>
      </c>
      <c r="BA48">
        <v>33.0461538461538</v>
      </c>
      <c r="BB48">
        <v>37.84615384615384</v>
      </c>
      <c r="BC48">
        <v>12.191289940828369</v>
      </c>
      <c r="BD48">
        <v>5.6794792899407991</v>
      </c>
      <c r="BE48">
        <v>14.178461538461571</v>
      </c>
      <c r="BF48">
        <v>5.7969230769231217</v>
      </c>
    </row>
    <row r="49" spans="1:58" x14ac:dyDescent="0.2">
      <c r="A49">
        <v>314</v>
      </c>
      <c r="B49">
        <v>30</v>
      </c>
      <c r="C49">
        <v>208.33333333333329</v>
      </c>
      <c r="D49">
        <v>250</v>
      </c>
      <c r="E49">
        <v>208.33333333333329</v>
      </c>
      <c r="F49">
        <f t="shared" si="11"/>
        <v>458.33333333333326</v>
      </c>
      <c r="G49">
        <f t="shared" si="11"/>
        <v>458.33333333333326</v>
      </c>
      <c r="H49">
        <v>666.66666666666674</v>
      </c>
      <c r="I49">
        <v>0.20833333333333329</v>
      </c>
      <c r="J49">
        <v>0.25</v>
      </c>
      <c r="K49">
        <v>0.20833333333333329</v>
      </c>
      <c r="L49">
        <f t="shared" si="1"/>
        <v>0.45833333333333326</v>
      </c>
      <c r="M49">
        <f t="shared" si="2"/>
        <v>0.45833333333333326</v>
      </c>
      <c r="N49">
        <v>0.66666666666666674</v>
      </c>
      <c r="O49">
        <f t="shared" si="3"/>
        <v>0.15833333333333327</v>
      </c>
      <c r="P49">
        <f t="shared" si="4"/>
        <v>9.9999999999999978E-2</v>
      </c>
      <c r="Q49">
        <f t="shared" si="5"/>
        <v>0.10833333333333328</v>
      </c>
      <c r="R49">
        <f t="shared" si="5"/>
        <v>0</v>
      </c>
      <c r="S49">
        <f t="shared" si="6"/>
        <v>0</v>
      </c>
      <c r="T49">
        <f t="shared" si="7"/>
        <v>0.16666666666666674</v>
      </c>
      <c r="U49">
        <f t="shared" si="8"/>
        <v>0.22988523706889538</v>
      </c>
      <c r="V49">
        <f t="shared" si="9"/>
        <v>0.21634591642911941</v>
      </c>
      <c r="W49">
        <f t="shared" si="10"/>
        <v>0.16666666666666674</v>
      </c>
      <c r="X49">
        <v>0</v>
      </c>
      <c r="Y49">
        <v>97.2</v>
      </c>
      <c r="Z49">
        <v>7.1999999999999993</v>
      </c>
      <c r="AA49">
        <v>8.4</v>
      </c>
      <c r="AB49">
        <v>0</v>
      </c>
      <c r="AC49">
        <v>0</v>
      </c>
      <c r="AD49">
        <v>0</v>
      </c>
      <c r="AE49">
        <v>0</v>
      </c>
      <c r="AF49">
        <v>42.199999999999882</v>
      </c>
      <c r="AG49">
        <v>80</v>
      </c>
      <c r="AH49">
        <v>122.1999999999999</v>
      </c>
      <c r="AI49">
        <v>1.766111111111107</v>
      </c>
      <c r="AJ49">
        <v>51.000555555555557</v>
      </c>
      <c r="AK49">
        <v>1.099999999999993</v>
      </c>
      <c r="AL49">
        <v>16.466666666666651</v>
      </c>
      <c r="AM49">
        <v>70.333333333333329</v>
      </c>
      <c r="AN49">
        <v>180</v>
      </c>
      <c r="AO49">
        <v>0</v>
      </c>
      <c r="AP49">
        <v>28.639999999999979</v>
      </c>
      <c r="AQ49">
        <v>0</v>
      </c>
      <c r="AR49">
        <v>19.760000000000101</v>
      </c>
      <c r="AS49">
        <v>2.11933333333323</v>
      </c>
      <c r="AT49">
        <v>32.560666666666741</v>
      </c>
      <c r="AU49">
        <v>1.319999999999951</v>
      </c>
      <c r="AV49">
        <v>0</v>
      </c>
      <c r="AW49">
        <v>48.400000000000077</v>
      </c>
      <c r="AX49">
        <v>35.999999999999922</v>
      </c>
      <c r="AY49">
        <v>42.2</v>
      </c>
      <c r="AZ49">
        <v>48.400000000000027</v>
      </c>
      <c r="BA49">
        <v>35.999999999999787</v>
      </c>
      <c r="BB49">
        <v>42.19999999999991</v>
      </c>
      <c r="BC49">
        <v>1.059666666666615</v>
      </c>
      <c r="BD49">
        <v>30.60033333333336</v>
      </c>
      <c r="BE49">
        <v>0.65999999999997572</v>
      </c>
      <c r="BF49">
        <v>9.8800000000000487</v>
      </c>
    </row>
    <row r="50" spans="1:58" x14ac:dyDescent="0.2">
      <c r="A50">
        <v>314</v>
      </c>
      <c r="B50">
        <v>27.5</v>
      </c>
      <c r="C50">
        <v>208.33333333333329</v>
      </c>
      <c r="D50">
        <v>250</v>
      </c>
      <c r="E50">
        <v>208.33333333333329</v>
      </c>
      <c r="F50">
        <f t="shared" si="11"/>
        <v>458.33333333333326</v>
      </c>
      <c r="G50">
        <f t="shared" si="11"/>
        <v>458.33333333333326</v>
      </c>
      <c r="H50">
        <v>666.66666666666674</v>
      </c>
      <c r="I50">
        <v>0.22727272727272729</v>
      </c>
      <c r="J50">
        <v>0.27272727272727282</v>
      </c>
      <c r="K50">
        <v>0.22727272727272729</v>
      </c>
      <c r="L50">
        <f t="shared" si="1"/>
        <v>0.50000000000000011</v>
      </c>
      <c r="M50">
        <f t="shared" si="2"/>
        <v>0.50000000000000011</v>
      </c>
      <c r="N50">
        <v>0.72727272727272729</v>
      </c>
      <c r="O50">
        <f t="shared" si="3"/>
        <v>0.1772727272727273</v>
      </c>
      <c r="P50">
        <f t="shared" si="4"/>
        <v>7.727272727272716E-2</v>
      </c>
      <c r="Q50">
        <f t="shared" si="5"/>
        <v>0.12727272727272729</v>
      </c>
      <c r="R50">
        <f t="shared" si="5"/>
        <v>0</v>
      </c>
      <c r="S50">
        <f t="shared" si="6"/>
        <v>0</v>
      </c>
      <c r="T50">
        <f t="shared" si="7"/>
        <v>0.22727272727272729</v>
      </c>
      <c r="U50">
        <f t="shared" si="8"/>
        <v>0.28823343386341255</v>
      </c>
      <c r="V50">
        <f t="shared" si="9"/>
        <v>0.23150602869539716</v>
      </c>
      <c r="W50">
        <f t="shared" si="10"/>
        <v>0.22727272727272729</v>
      </c>
      <c r="X50">
        <v>0</v>
      </c>
      <c r="Y50">
        <v>99.6</v>
      </c>
      <c r="Z50">
        <v>12</v>
      </c>
      <c r="AA50">
        <v>15.6</v>
      </c>
      <c r="AB50">
        <v>0</v>
      </c>
      <c r="AC50">
        <v>0</v>
      </c>
      <c r="AD50">
        <v>0</v>
      </c>
      <c r="AE50">
        <v>0</v>
      </c>
      <c r="AF50">
        <v>39.599999999999923</v>
      </c>
      <c r="AG50">
        <v>87.27272727272728</v>
      </c>
      <c r="AH50">
        <v>126.8727272727272</v>
      </c>
      <c r="AI50">
        <v>4.5818181818181838</v>
      </c>
      <c r="AJ50">
        <v>41.490909090909078</v>
      </c>
      <c r="AK50">
        <v>3.4363636363636378</v>
      </c>
      <c r="AL50">
        <v>16.49090909090912</v>
      </c>
      <c r="AM50">
        <v>66.000000000000014</v>
      </c>
      <c r="AN50">
        <v>180</v>
      </c>
      <c r="AO50">
        <v>0</v>
      </c>
      <c r="AP50">
        <v>28.53818181818173</v>
      </c>
      <c r="AQ50">
        <v>0</v>
      </c>
      <c r="AR50">
        <v>19.78909090909082</v>
      </c>
      <c r="AS50">
        <v>5.4981818181818296</v>
      </c>
      <c r="AT50">
        <v>21.250909090909001</v>
      </c>
      <c r="AU50">
        <v>4.1236363636363729</v>
      </c>
      <c r="AV50">
        <v>0</v>
      </c>
      <c r="AW50">
        <v>48.32727272727255</v>
      </c>
      <c r="AX50">
        <v>30.872727272727211</v>
      </c>
      <c r="AY50">
        <v>39.599999999999881</v>
      </c>
      <c r="AZ50">
        <v>48.327272727272643</v>
      </c>
      <c r="BA50">
        <v>30.872727272727229</v>
      </c>
      <c r="BB50">
        <v>39.599999999999937</v>
      </c>
      <c r="BC50">
        <v>2.7490909090909148</v>
      </c>
      <c r="BD50">
        <v>24.894545454545369</v>
      </c>
      <c r="BE50">
        <v>2.061818181818186</v>
      </c>
      <c r="BF50">
        <v>9.8945454545454083</v>
      </c>
    </row>
    <row r="51" spans="1:58" x14ac:dyDescent="0.2">
      <c r="A51">
        <v>314</v>
      </c>
      <c r="B51">
        <v>25</v>
      </c>
      <c r="C51">
        <v>208.33333333333329</v>
      </c>
      <c r="D51">
        <v>250</v>
      </c>
      <c r="E51">
        <v>208.33333333333329</v>
      </c>
      <c r="F51">
        <f t="shared" si="11"/>
        <v>458.33333333333326</v>
      </c>
      <c r="G51">
        <f t="shared" si="11"/>
        <v>458.33333333333326</v>
      </c>
      <c r="H51">
        <v>666.66666666666674</v>
      </c>
      <c r="I51">
        <v>0.25</v>
      </c>
      <c r="J51">
        <v>0.3</v>
      </c>
      <c r="K51">
        <v>0.25</v>
      </c>
      <c r="L51">
        <f t="shared" si="1"/>
        <v>0.55000000000000004</v>
      </c>
      <c r="M51">
        <f t="shared" si="2"/>
        <v>0.55000000000000004</v>
      </c>
      <c r="N51">
        <v>0.8</v>
      </c>
      <c r="O51">
        <f t="shared" si="3"/>
        <v>0.2</v>
      </c>
      <c r="P51">
        <f t="shared" si="4"/>
        <v>4.9999999999999989E-2</v>
      </c>
      <c r="Q51">
        <f t="shared" si="5"/>
        <v>0.15</v>
      </c>
      <c r="R51">
        <f t="shared" si="5"/>
        <v>0</v>
      </c>
      <c r="S51">
        <f t="shared" si="6"/>
        <v>0</v>
      </c>
      <c r="T51">
        <f t="shared" si="7"/>
        <v>0.19999999999999996</v>
      </c>
      <c r="U51">
        <f t="shared" si="8"/>
        <v>0.28284271247461901</v>
      </c>
      <c r="V51">
        <f t="shared" si="9"/>
        <v>0.25495097567963926</v>
      </c>
      <c r="W51">
        <f t="shared" si="10"/>
        <v>0.19999999999999996</v>
      </c>
      <c r="X51">
        <v>0</v>
      </c>
      <c r="Y51">
        <v>2.4</v>
      </c>
      <c r="Z51">
        <v>67.2</v>
      </c>
      <c r="AA51">
        <v>88.8</v>
      </c>
      <c r="AB51">
        <v>0</v>
      </c>
      <c r="AC51">
        <v>0</v>
      </c>
      <c r="AD51">
        <v>0</v>
      </c>
      <c r="AE51">
        <v>0</v>
      </c>
      <c r="AF51">
        <v>47.999999999999467</v>
      </c>
      <c r="AG51">
        <v>96</v>
      </c>
      <c r="AH51">
        <v>143.99999999999949</v>
      </c>
      <c r="AI51">
        <v>24.840000000000021</v>
      </c>
      <c r="AJ51">
        <v>17.759999999999991</v>
      </c>
      <c r="AK51">
        <v>28.47600000000002</v>
      </c>
      <c r="AL51">
        <v>5.6000000000000112</v>
      </c>
      <c r="AM51">
        <v>76.676000000000045</v>
      </c>
      <c r="AN51">
        <v>180</v>
      </c>
      <c r="AO51">
        <v>0</v>
      </c>
      <c r="AP51">
        <v>12.48000000000005</v>
      </c>
      <c r="AQ51">
        <v>19.92000000000003</v>
      </c>
      <c r="AR51">
        <v>8.3999999999998387</v>
      </c>
      <c r="AS51">
        <v>29.807999999999289</v>
      </c>
      <c r="AT51">
        <v>8.8320000000001322</v>
      </c>
      <c r="AU51">
        <v>16.559999999999611</v>
      </c>
      <c r="AV51">
        <v>0</v>
      </c>
      <c r="AW51">
        <v>40.799999999999933</v>
      </c>
      <c r="AX51">
        <v>55.199999999999029</v>
      </c>
      <c r="AY51">
        <v>47.999999999999467</v>
      </c>
      <c r="AZ51">
        <v>40.799999999999933</v>
      </c>
      <c r="BA51">
        <v>55.199999999999108</v>
      </c>
      <c r="BB51">
        <v>47.999999999999517</v>
      </c>
      <c r="BC51">
        <v>14.903999999999639</v>
      </c>
      <c r="BD51">
        <v>10.656000000000089</v>
      </c>
      <c r="BE51">
        <v>18.239999999999821</v>
      </c>
      <c r="BF51">
        <v>4.1999999999999194</v>
      </c>
    </row>
    <row r="52" spans="1:58" x14ac:dyDescent="0.2">
      <c r="A52">
        <v>314</v>
      </c>
      <c r="B52">
        <v>22.5</v>
      </c>
      <c r="C52">
        <v>208.33333333333329</v>
      </c>
      <c r="D52">
        <v>250</v>
      </c>
      <c r="E52">
        <v>208.33333333333329</v>
      </c>
      <c r="F52">
        <f t="shared" si="11"/>
        <v>458.33333333333326</v>
      </c>
      <c r="G52">
        <f t="shared" si="11"/>
        <v>458.33333333333326</v>
      </c>
      <c r="H52">
        <v>666.66666666666674</v>
      </c>
      <c r="I52">
        <v>0.27777777777777779</v>
      </c>
      <c r="J52">
        <v>0.33333333333333331</v>
      </c>
      <c r="K52">
        <v>0.27777777777777779</v>
      </c>
      <c r="L52">
        <f t="shared" si="1"/>
        <v>0.61111111111111116</v>
      </c>
      <c r="M52">
        <f t="shared" si="2"/>
        <v>0.61111111111111116</v>
      </c>
      <c r="N52">
        <v>0.88888888888888895</v>
      </c>
      <c r="O52">
        <f t="shared" si="3"/>
        <v>0.17222222222222222</v>
      </c>
      <c r="P52">
        <f t="shared" si="4"/>
        <v>1.6666666666666663E-2</v>
      </c>
      <c r="Q52">
        <f t="shared" si="5"/>
        <v>0.12222222222222223</v>
      </c>
      <c r="R52">
        <f t="shared" si="5"/>
        <v>1.1111111111111183E-2</v>
      </c>
      <c r="S52">
        <f t="shared" si="6"/>
        <v>6.1111111111111116E-2</v>
      </c>
      <c r="T52">
        <f t="shared" si="7"/>
        <v>0.11111111111111105</v>
      </c>
      <c r="U52">
        <f t="shared" si="8"/>
        <v>0.20495407495218571</v>
      </c>
      <c r="V52">
        <f t="shared" si="9"/>
        <v>0.21184084405486242</v>
      </c>
      <c r="W52">
        <f t="shared" si="10"/>
        <v>0.12729376930432884</v>
      </c>
      <c r="X52">
        <v>0</v>
      </c>
      <c r="Y52">
        <v>1.2</v>
      </c>
      <c r="Z52">
        <v>44.4</v>
      </c>
      <c r="AA52">
        <v>37.200000000000003</v>
      </c>
      <c r="AB52">
        <v>0</v>
      </c>
      <c r="AC52">
        <v>0</v>
      </c>
      <c r="AD52">
        <v>0</v>
      </c>
      <c r="AE52">
        <v>0</v>
      </c>
      <c r="AF52">
        <v>50.666666666666401</v>
      </c>
      <c r="AG52">
        <v>106.6666666666667</v>
      </c>
      <c r="AH52">
        <v>157.33333333333309</v>
      </c>
      <c r="AI52">
        <v>28.422222222222221</v>
      </c>
      <c r="AJ52">
        <v>24.45708641975309</v>
      </c>
      <c r="AK52">
        <v>1.96148148148148</v>
      </c>
      <c r="AL52">
        <v>28.831358024691319</v>
      </c>
      <c r="AM52">
        <v>83.672148148148096</v>
      </c>
      <c r="AN52">
        <v>180</v>
      </c>
      <c r="AO52">
        <v>0</v>
      </c>
      <c r="AP52">
        <v>16.106666666666651</v>
      </c>
      <c r="AQ52">
        <v>1.0737777777777711</v>
      </c>
      <c r="AR52">
        <v>34.686222222222241</v>
      </c>
      <c r="AS52">
        <v>34.533333333333331</v>
      </c>
      <c r="AT52">
        <v>13.653333333333279</v>
      </c>
      <c r="AU52">
        <v>1.279999999999887</v>
      </c>
      <c r="AV52">
        <v>0</v>
      </c>
      <c r="AW52">
        <v>51.86666666666666</v>
      </c>
      <c r="AX52">
        <v>49.466666666666512</v>
      </c>
      <c r="AY52">
        <v>50.666666666666593</v>
      </c>
      <c r="AZ52">
        <v>51.866666666666447</v>
      </c>
      <c r="BA52">
        <v>49.466666666666583</v>
      </c>
      <c r="BB52">
        <v>50.666666666666522</v>
      </c>
      <c r="BC52">
        <v>17.266666666666669</v>
      </c>
      <c r="BD52">
        <v>14.879999999999971</v>
      </c>
      <c r="BE52">
        <v>1.1768888888888289</v>
      </c>
      <c r="BF52">
        <v>17.343111111111121</v>
      </c>
    </row>
    <row r="53" spans="1:58" x14ac:dyDescent="0.2">
      <c r="A53">
        <v>314</v>
      </c>
      <c r="B53">
        <v>20</v>
      </c>
      <c r="C53">
        <v>208.33333333333329</v>
      </c>
      <c r="D53">
        <v>250</v>
      </c>
      <c r="E53">
        <v>208.33333333333329</v>
      </c>
      <c r="F53">
        <f t="shared" si="11"/>
        <v>458.33333333333326</v>
      </c>
      <c r="G53">
        <f t="shared" si="11"/>
        <v>458.33333333333326</v>
      </c>
      <c r="H53">
        <v>666.66666666666674</v>
      </c>
      <c r="I53">
        <v>0.31250000000000011</v>
      </c>
      <c r="J53">
        <v>0.375</v>
      </c>
      <c r="K53">
        <v>0.31250000000000011</v>
      </c>
      <c r="L53">
        <f t="shared" si="1"/>
        <v>0.68750000000000011</v>
      </c>
      <c r="M53">
        <f t="shared" si="2"/>
        <v>0.68750000000000011</v>
      </c>
      <c r="N53">
        <v>1</v>
      </c>
      <c r="O53">
        <f t="shared" si="3"/>
        <v>0.1374999999999999</v>
      </c>
      <c r="P53">
        <f t="shared" si="4"/>
        <v>0</v>
      </c>
      <c r="Q53">
        <f t="shared" si="5"/>
        <v>8.7499999999999911E-2</v>
      </c>
      <c r="R53">
        <f t="shared" si="5"/>
        <v>8.7500000000000133E-2</v>
      </c>
      <c r="S53">
        <f t="shared" si="6"/>
        <v>0.13750000000000007</v>
      </c>
      <c r="T53">
        <f t="shared" si="7"/>
        <v>0</v>
      </c>
      <c r="U53">
        <f t="shared" si="8"/>
        <v>0.1374999999999999</v>
      </c>
      <c r="V53">
        <f t="shared" si="9"/>
        <v>0.16298006013006608</v>
      </c>
      <c r="W53">
        <f t="shared" si="10"/>
        <v>0.16298006013006636</v>
      </c>
      <c r="X53">
        <v>0</v>
      </c>
      <c r="Y53">
        <v>61.2</v>
      </c>
      <c r="Z53">
        <v>3.6</v>
      </c>
      <c r="AA53">
        <v>34.799999999999997</v>
      </c>
      <c r="AB53">
        <v>0</v>
      </c>
      <c r="AC53">
        <v>0</v>
      </c>
      <c r="AD53">
        <v>0</v>
      </c>
      <c r="AE53">
        <v>0</v>
      </c>
      <c r="AF53">
        <v>50.999999999999673</v>
      </c>
      <c r="AG53">
        <v>120</v>
      </c>
      <c r="AH53">
        <v>170.99999999999969</v>
      </c>
      <c r="AI53">
        <v>14.90674999999999</v>
      </c>
      <c r="AJ53">
        <v>27.572499999999991</v>
      </c>
      <c r="AK53">
        <v>36.850000000000009</v>
      </c>
      <c r="AL53">
        <v>5.2500000000000409</v>
      </c>
      <c r="AM53">
        <v>84.579250000000016</v>
      </c>
      <c r="AN53">
        <v>180</v>
      </c>
      <c r="AO53">
        <v>0</v>
      </c>
      <c r="AP53">
        <v>23.7</v>
      </c>
      <c r="AQ53">
        <v>17.399999999999679</v>
      </c>
      <c r="AR53">
        <v>6.3000000000002423</v>
      </c>
      <c r="AS53">
        <v>18.392999999999869</v>
      </c>
      <c r="AT53">
        <v>9.3869999999999383</v>
      </c>
      <c r="AU53">
        <v>26.819999999999791</v>
      </c>
      <c r="AV53">
        <v>0</v>
      </c>
      <c r="AW53">
        <v>47.39999999999992</v>
      </c>
      <c r="AX53">
        <v>54.599999999999604</v>
      </c>
      <c r="AY53">
        <v>50.999999999999758</v>
      </c>
      <c r="AZ53">
        <v>47.399999999999842</v>
      </c>
      <c r="BA53">
        <v>54.599999999999682</v>
      </c>
      <c r="BB53">
        <v>50.999999999999758</v>
      </c>
      <c r="BC53">
        <v>9.1964999999999328</v>
      </c>
      <c r="BD53">
        <v>16.54349999999997</v>
      </c>
      <c r="BE53">
        <v>22.109999999999729</v>
      </c>
      <c r="BF53">
        <v>3.1500000000001211</v>
      </c>
    </row>
    <row r="54" spans="1:58" x14ac:dyDescent="0.2">
      <c r="A54">
        <v>321</v>
      </c>
      <c r="B54">
        <v>50</v>
      </c>
      <c r="C54">
        <v>208.33333333333329</v>
      </c>
      <c r="D54">
        <v>250</v>
      </c>
      <c r="E54">
        <v>208.33333333333329</v>
      </c>
      <c r="F54">
        <f t="shared" si="11"/>
        <v>458.33333333333326</v>
      </c>
      <c r="G54">
        <f t="shared" si="11"/>
        <v>458.33333333333326</v>
      </c>
      <c r="H54">
        <v>833.33333333333337</v>
      </c>
      <c r="I54">
        <v>0.125</v>
      </c>
      <c r="J54">
        <v>0.25</v>
      </c>
      <c r="K54">
        <v>0.125</v>
      </c>
      <c r="L54">
        <f t="shared" si="1"/>
        <v>0.375</v>
      </c>
      <c r="M54">
        <f t="shared" si="2"/>
        <v>0.375</v>
      </c>
      <c r="N54">
        <v>0.5</v>
      </c>
      <c r="O54">
        <f t="shared" si="3"/>
        <v>7.4999999999999997E-2</v>
      </c>
      <c r="P54">
        <f t="shared" si="4"/>
        <v>9.9999999999999978E-2</v>
      </c>
      <c r="Q54">
        <f t="shared" si="5"/>
        <v>2.4999999999999994E-2</v>
      </c>
      <c r="R54">
        <f t="shared" si="5"/>
        <v>2.5000000000000022E-2</v>
      </c>
      <c r="S54">
        <f t="shared" si="6"/>
        <v>7.5000000000000011E-2</v>
      </c>
      <c r="T54">
        <f t="shared" si="7"/>
        <v>0</v>
      </c>
      <c r="U54">
        <f t="shared" si="8"/>
        <v>7.4999999999999997E-2</v>
      </c>
      <c r="V54">
        <f t="shared" si="9"/>
        <v>0.1274754878398196</v>
      </c>
      <c r="W54">
        <f t="shared" si="10"/>
        <v>7.9056941504209499E-2</v>
      </c>
      <c r="X54">
        <v>0</v>
      </c>
      <c r="Y54">
        <v>118.8</v>
      </c>
      <c r="Z54">
        <v>49.2</v>
      </c>
      <c r="AA54">
        <v>62.4</v>
      </c>
      <c r="AB54">
        <v>0</v>
      </c>
      <c r="AC54">
        <v>0</v>
      </c>
      <c r="AD54">
        <v>0</v>
      </c>
      <c r="AE54">
        <v>0</v>
      </c>
      <c r="AF54">
        <v>23.999999999999591</v>
      </c>
      <c r="AG54">
        <v>60</v>
      </c>
      <c r="AH54">
        <v>83.999999999999602</v>
      </c>
      <c r="AI54">
        <v>10.80000000000002</v>
      </c>
      <c r="AJ54">
        <v>16.549000000000021</v>
      </c>
      <c r="AK54">
        <v>9.1489999999999849</v>
      </c>
      <c r="AL54">
        <v>1.2000000000000119</v>
      </c>
      <c r="AM54">
        <v>37.698000000000043</v>
      </c>
      <c r="AN54">
        <v>180</v>
      </c>
      <c r="AO54">
        <v>0</v>
      </c>
      <c r="AP54">
        <v>3.359999999999935</v>
      </c>
      <c r="AQ54">
        <v>9.2400000000000642</v>
      </c>
      <c r="AR54">
        <v>1.8</v>
      </c>
      <c r="AS54">
        <v>13.799999999999599</v>
      </c>
      <c r="AT54">
        <v>17.280000000000051</v>
      </c>
      <c r="AU54">
        <v>2.5199999999999521</v>
      </c>
      <c r="AV54">
        <v>0</v>
      </c>
      <c r="AW54">
        <v>14.4</v>
      </c>
      <c r="AX54">
        <v>33.599999999999604</v>
      </c>
      <c r="AY54">
        <v>23.999999999999801</v>
      </c>
      <c r="AZ54">
        <v>14.400000000000009</v>
      </c>
      <c r="BA54">
        <v>33.599999999999511</v>
      </c>
      <c r="BB54">
        <v>23.999999999999758</v>
      </c>
      <c r="BC54">
        <v>6.8999999999997979</v>
      </c>
      <c r="BD54">
        <v>10.31999999999999</v>
      </c>
      <c r="BE54">
        <v>5.8800000000000079</v>
      </c>
      <c r="BF54">
        <v>0.9</v>
      </c>
    </row>
    <row r="55" spans="1:58" x14ac:dyDescent="0.2">
      <c r="A55">
        <v>321</v>
      </c>
      <c r="B55">
        <v>47.5</v>
      </c>
      <c r="C55">
        <v>208.33333333333329</v>
      </c>
      <c r="D55">
        <v>250</v>
      </c>
      <c r="E55">
        <v>208.33333333333329</v>
      </c>
      <c r="F55">
        <f t="shared" si="11"/>
        <v>458.33333333333326</v>
      </c>
      <c r="G55">
        <f t="shared" si="11"/>
        <v>458.33333333333326</v>
      </c>
      <c r="H55">
        <v>833.33333333333337</v>
      </c>
      <c r="I55">
        <v>0.1315789473684211</v>
      </c>
      <c r="J55">
        <v>0.26315789473684209</v>
      </c>
      <c r="K55">
        <v>0.1315789473684211</v>
      </c>
      <c r="L55">
        <f t="shared" si="1"/>
        <v>0.39473684210526316</v>
      </c>
      <c r="M55">
        <f t="shared" si="2"/>
        <v>0.39473684210526316</v>
      </c>
      <c r="N55">
        <v>0.52631578947368429</v>
      </c>
      <c r="O55">
        <f t="shared" si="3"/>
        <v>8.1578947368421098E-2</v>
      </c>
      <c r="P55">
        <f t="shared" si="4"/>
        <v>8.6842105263157887E-2</v>
      </c>
      <c r="Q55">
        <f t="shared" si="5"/>
        <v>3.1578947368421095E-2</v>
      </c>
      <c r="R55">
        <f t="shared" si="5"/>
        <v>5.2631578947368585E-3</v>
      </c>
      <c r="S55">
        <f t="shared" si="6"/>
        <v>5.5263157894736847E-2</v>
      </c>
      <c r="T55">
        <f t="shared" si="7"/>
        <v>2.6315789473684292E-2</v>
      </c>
      <c r="U55">
        <f t="shared" si="8"/>
        <v>8.5718407762643917E-2</v>
      </c>
      <c r="V55">
        <f t="shared" si="9"/>
        <v>0.1232635624066355</v>
      </c>
      <c r="W55">
        <f t="shared" si="10"/>
        <v>6.1434829104888213E-2</v>
      </c>
      <c r="X55">
        <v>0</v>
      </c>
      <c r="Y55">
        <v>106.8</v>
      </c>
      <c r="Z55">
        <v>43.2</v>
      </c>
      <c r="AA55">
        <v>58.8</v>
      </c>
      <c r="AB55">
        <v>0</v>
      </c>
      <c r="AC55">
        <v>0</v>
      </c>
      <c r="AD55">
        <v>0</v>
      </c>
      <c r="AE55">
        <v>0</v>
      </c>
      <c r="AF55">
        <v>23.99999999999952</v>
      </c>
      <c r="AG55">
        <v>63.15789473684211</v>
      </c>
      <c r="AH55">
        <v>87.157894736841627</v>
      </c>
      <c r="AI55">
        <v>1.7263157894737069</v>
      </c>
      <c r="AJ55">
        <v>19.393783933518019</v>
      </c>
      <c r="AK55">
        <v>15.67874792243768</v>
      </c>
      <c r="AL55">
        <v>0.12631578947368399</v>
      </c>
      <c r="AM55">
        <v>36.925163434903091</v>
      </c>
      <c r="AN55">
        <v>180</v>
      </c>
      <c r="AO55">
        <v>0</v>
      </c>
      <c r="AP55">
        <v>13.591578947368459</v>
      </c>
      <c r="AQ55">
        <v>16.21894736842102</v>
      </c>
      <c r="AR55">
        <v>0.18947368421043689</v>
      </c>
      <c r="AS55">
        <v>2.5894736842099522</v>
      </c>
      <c r="AT55">
        <v>10.97684210526325</v>
      </c>
      <c r="AU55">
        <v>4.4336842105261489</v>
      </c>
      <c r="AV55">
        <v>0</v>
      </c>
      <c r="AW55">
        <v>29.999999999999918</v>
      </c>
      <c r="AX55">
        <v>17.99999999999935</v>
      </c>
      <c r="AY55">
        <v>23.999999999999641</v>
      </c>
      <c r="AZ55">
        <v>29.999999999999972</v>
      </c>
      <c r="BA55">
        <v>17.999999999999329</v>
      </c>
      <c r="BB55">
        <v>23.999999999999648</v>
      </c>
      <c r="BC55">
        <v>1.2947368421049761</v>
      </c>
      <c r="BD55">
        <v>12.28421052631586</v>
      </c>
      <c r="BE55">
        <v>10.326315789473581</v>
      </c>
      <c r="BF55">
        <v>9.4736842105218474E-2</v>
      </c>
    </row>
    <row r="56" spans="1:58" x14ac:dyDescent="0.2">
      <c r="A56">
        <v>321</v>
      </c>
      <c r="B56">
        <v>45</v>
      </c>
      <c r="C56">
        <v>208.33333333333329</v>
      </c>
      <c r="D56">
        <v>250</v>
      </c>
      <c r="E56">
        <v>208.33333333333329</v>
      </c>
      <c r="F56">
        <f t="shared" si="11"/>
        <v>458.33333333333326</v>
      </c>
      <c r="G56">
        <f t="shared" si="11"/>
        <v>458.33333333333326</v>
      </c>
      <c r="H56">
        <v>833.33333333333337</v>
      </c>
      <c r="I56">
        <v>0.1388888888888889</v>
      </c>
      <c r="J56">
        <v>0.27777777777777779</v>
      </c>
      <c r="K56">
        <v>0.1388888888888889</v>
      </c>
      <c r="L56">
        <f t="shared" si="1"/>
        <v>0.41666666666666669</v>
      </c>
      <c r="M56">
        <f t="shared" si="2"/>
        <v>0.41666666666666669</v>
      </c>
      <c r="N56">
        <v>0.55555555555555558</v>
      </c>
      <c r="O56">
        <f t="shared" si="3"/>
        <v>8.8888888888888892E-2</v>
      </c>
      <c r="P56">
        <f t="shared" si="4"/>
        <v>7.2222222222222188E-2</v>
      </c>
      <c r="Q56">
        <f t="shared" si="5"/>
        <v>3.888888888888889E-2</v>
      </c>
      <c r="R56">
        <f t="shared" si="5"/>
        <v>0</v>
      </c>
      <c r="S56">
        <f t="shared" si="6"/>
        <v>3.3333333333333326E-2</v>
      </c>
      <c r="T56">
        <f t="shared" si="7"/>
        <v>5.555555555555558E-2</v>
      </c>
      <c r="U56">
        <f t="shared" si="8"/>
        <v>0.10482201257840673</v>
      </c>
      <c r="V56">
        <f t="shared" si="9"/>
        <v>0.12095300587265133</v>
      </c>
      <c r="W56">
        <f t="shared" si="10"/>
        <v>6.4788354387170025E-2</v>
      </c>
      <c r="X56">
        <v>0</v>
      </c>
      <c r="Y56">
        <v>2.4</v>
      </c>
      <c r="Z56">
        <v>49.2</v>
      </c>
      <c r="AA56">
        <v>64.8</v>
      </c>
      <c r="AB56">
        <v>0</v>
      </c>
      <c r="AC56">
        <v>0</v>
      </c>
      <c r="AD56">
        <v>0</v>
      </c>
      <c r="AE56">
        <v>0</v>
      </c>
      <c r="AF56">
        <v>23.999999999999471</v>
      </c>
      <c r="AG56">
        <v>66.666666666666671</v>
      </c>
      <c r="AH56">
        <v>90.666666666666146</v>
      </c>
      <c r="AI56">
        <v>14.511111111111109</v>
      </c>
      <c r="AJ56">
        <v>16.300938271604942</v>
      </c>
      <c r="AK56">
        <v>5.4981234567901263</v>
      </c>
      <c r="AL56">
        <v>0.71111111111110381</v>
      </c>
      <c r="AM56">
        <v>37.021283950617267</v>
      </c>
      <c r="AN56">
        <v>180</v>
      </c>
      <c r="AO56">
        <v>0</v>
      </c>
      <c r="AP56">
        <v>1.8133333333333821</v>
      </c>
      <c r="AQ56">
        <v>1.919999999999952</v>
      </c>
      <c r="AR56">
        <v>1.0666666666666671</v>
      </c>
      <c r="AS56">
        <v>19.066666666666261</v>
      </c>
      <c r="AT56">
        <v>19.1733333333334</v>
      </c>
      <c r="AU56">
        <v>4.960000000000016</v>
      </c>
      <c r="AV56">
        <v>0</v>
      </c>
      <c r="AW56">
        <v>4.8</v>
      </c>
      <c r="AX56">
        <v>43.199999999999683</v>
      </c>
      <c r="AY56">
        <v>23.99999999999984</v>
      </c>
      <c r="AZ56">
        <v>4.7999999999998408</v>
      </c>
      <c r="BA56">
        <v>43.199999999999122</v>
      </c>
      <c r="BB56">
        <v>23.999999999999481</v>
      </c>
      <c r="BC56">
        <v>9.5333333333331307</v>
      </c>
      <c r="BD56">
        <v>10.493333333333389</v>
      </c>
      <c r="BE56">
        <v>3.439999999999984</v>
      </c>
      <c r="BF56">
        <v>0.53333333333333333</v>
      </c>
    </row>
    <row r="57" spans="1:58" x14ac:dyDescent="0.2">
      <c r="A57">
        <v>321</v>
      </c>
      <c r="B57">
        <v>42.5</v>
      </c>
      <c r="C57">
        <v>208.33333333333329</v>
      </c>
      <c r="D57">
        <v>250</v>
      </c>
      <c r="E57">
        <v>208.33333333333329</v>
      </c>
      <c r="F57">
        <f t="shared" si="11"/>
        <v>458.33333333333326</v>
      </c>
      <c r="G57">
        <f t="shared" si="11"/>
        <v>458.33333333333326</v>
      </c>
      <c r="H57">
        <v>833.33333333333337</v>
      </c>
      <c r="I57">
        <v>0.1470588235294118</v>
      </c>
      <c r="J57">
        <v>0.29411764705882348</v>
      </c>
      <c r="K57">
        <v>0.1470588235294118</v>
      </c>
      <c r="L57">
        <f t="shared" si="1"/>
        <v>0.44117647058823528</v>
      </c>
      <c r="M57">
        <f t="shared" si="2"/>
        <v>0.44117647058823528</v>
      </c>
      <c r="N57">
        <v>0.58823529411764708</v>
      </c>
      <c r="O57">
        <f t="shared" si="3"/>
        <v>9.7058823529411795E-2</v>
      </c>
      <c r="P57">
        <f t="shared" si="4"/>
        <v>5.5882352941176494E-2</v>
      </c>
      <c r="Q57">
        <f t="shared" si="5"/>
        <v>4.7058823529411792E-2</v>
      </c>
      <c r="R57">
        <f t="shared" si="5"/>
        <v>0</v>
      </c>
      <c r="S57">
        <f t="shared" si="6"/>
        <v>8.82352941176473E-3</v>
      </c>
      <c r="T57">
        <f t="shared" si="7"/>
        <v>8.8235294117647078E-2</v>
      </c>
      <c r="U57">
        <f t="shared" si="8"/>
        <v>0.13117119482928097</v>
      </c>
      <c r="V57">
        <f t="shared" si="9"/>
        <v>0.12148162604743171</v>
      </c>
      <c r="W57">
        <f t="shared" si="10"/>
        <v>8.8675373127537288E-2</v>
      </c>
      <c r="X57">
        <v>0</v>
      </c>
      <c r="Y57">
        <v>2.4</v>
      </c>
      <c r="Z57">
        <v>61.2</v>
      </c>
      <c r="AA57">
        <v>76.8</v>
      </c>
      <c r="AB57">
        <v>0</v>
      </c>
      <c r="AC57">
        <v>0</v>
      </c>
      <c r="AD57">
        <v>0</v>
      </c>
      <c r="AE57">
        <v>0</v>
      </c>
      <c r="AF57">
        <v>23.999999999999499</v>
      </c>
      <c r="AG57">
        <v>70.588235294117652</v>
      </c>
      <c r="AH57">
        <v>94.58823529411714</v>
      </c>
      <c r="AI57">
        <v>16.388235294117639</v>
      </c>
      <c r="AJ57">
        <v>6.5666020761245631</v>
      </c>
      <c r="AK57">
        <v>14.241051903114201</v>
      </c>
      <c r="AL57">
        <v>1.364705882352931</v>
      </c>
      <c r="AM57">
        <v>38.560595155709343</v>
      </c>
      <c r="AN57">
        <v>180</v>
      </c>
      <c r="AO57">
        <v>0</v>
      </c>
      <c r="AP57">
        <v>2.597647058823592</v>
      </c>
      <c r="AQ57">
        <v>12.15529411764712</v>
      </c>
      <c r="AR57">
        <v>2.047058823529369</v>
      </c>
      <c r="AS57">
        <v>20.047058823528719</v>
      </c>
      <c r="AT57">
        <v>5.6047058823529774</v>
      </c>
      <c r="AU57">
        <v>5.5482352941176538</v>
      </c>
      <c r="AV57">
        <v>0</v>
      </c>
      <c r="AW57">
        <v>16.800000000000079</v>
      </c>
      <c r="AX57">
        <v>31.199999999999349</v>
      </c>
      <c r="AY57">
        <v>23.999999999999719</v>
      </c>
      <c r="AZ57">
        <v>16.799999999999908</v>
      </c>
      <c r="BA57">
        <v>31.199999999999111</v>
      </c>
      <c r="BB57">
        <v>23.99999999999951</v>
      </c>
      <c r="BC57">
        <v>10.023529411764359</v>
      </c>
      <c r="BD57">
        <v>4.1011764705882836</v>
      </c>
      <c r="BE57">
        <v>8.8517647058823865</v>
      </c>
      <c r="BF57">
        <v>1.023529411764684</v>
      </c>
    </row>
    <row r="58" spans="1:58" x14ac:dyDescent="0.2">
      <c r="A58">
        <v>321</v>
      </c>
      <c r="B58">
        <v>40</v>
      </c>
      <c r="C58">
        <v>208.33333333333329</v>
      </c>
      <c r="D58">
        <v>250</v>
      </c>
      <c r="E58">
        <v>208.33333333333329</v>
      </c>
      <c r="F58">
        <f t="shared" si="11"/>
        <v>458.33333333333326</v>
      </c>
      <c r="G58">
        <f t="shared" si="11"/>
        <v>458.33333333333326</v>
      </c>
      <c r="H58">
        <v>833.33333333333337</v>
      </c>
      <c r="I58">
        <v>0.15625</v>
      </c>
      <c r="J58">
        <v>0.31250000000000011</v>
      </c>
      <c r="K58">
        <v>0.15625</v>
      </c>
      <c r="L58">
        <f t="shared" si="1"/>
        <v>0.46875000000000011</v>
      </c>
      <c r="M58">
        <f t="shared" si="2"/>
        <v>0.46875000000000011</v>
      </c>
      <c r="N58">
        <v>0.62500000000000011</v>
      </c>
      <c r="O58">
        <f t="shared" si="3"/>
        <v>0.10625</v>
      </c>
      <c r="P58">
        <f t="shared" si="4"/>
        <v>3.7499999999999867E-2</v>
      </c>
      <c r="Q58">
        <f t="shared" si="5"/>
        <v>5.6249999999999994E-2</v>
      </c>
      <c r="R58">
        <f t="shared" si="5"/>
        <v>0</v>
      </c>
      <c r="S58">
        <f t="shared" si="6"/>
        <v>0</v>
      </c>
      <c r="T58">
        <f t="shared" si="7"/>
        <v>0.12500000000000011</v>
      </c>
      <c r="U58">
        <f t="shared" si="8"/>
        <v>0.16405505935508366</v>
      </c>
      <c r="V58">
        <f t="shared" si="9"/>
        <v>0.12593401049756173</v>
      </c>
      <c r="W58">
        <f t="shared" si="10"/>
        <v>0.12500000000000011</v>
      </c>
      <c r="X58">
        <v>0</v>
      </c>
      <c r="Y58">
        <v>4.8</v>
      </c>
      <c r="Z58">
        <v>55.2</v>
      </c>
      <c r="AA58">
        <v>62.4</v>
      </c>
      <c r="AB58">
        <v>0</v>
      </c>
      <c r="AC58">
        <v>0</v>
      </c>
      <c r="AD58">
        <v>0</v>
      </c>
      <c r="AE58">
        <v>0</v>
      </c>
      <c r="AF58">
        <v>23.999999999999591</v>
      </c>
      <c r="AG58">
        <v>75</v>
      </c>
      <c r="AH58">
        <v>98.999999999999602</v>
      </c>
      <c r="AI58">
        <v>19.300000000000018</v>
      </c>
      <c r="AJ58">
        <v>8.3855625000000149</v>
      </c>
      <c r="AK58">
        <v>1.9048749999999981</v>
      </c>
      <c r="AL58">
        <v>9.4750000000000121</v>
      </c>
      <c r="AM58">
        <v>39.065437500000037</v>
      </c>
      <c r="AN58">
        <v>180</v>
      </c>
      <c r="AO58">
        <v>0</v>
      </c>
      <c r="AP58">
        <v>1.560000000000016</v>
      </c>
      <c r="AQ58">
        <v>1.289999999999984</v>
      </c>
      <c r="AR58">
        <v>11.55</v>
      </c>
      <c r="AS58">
        <v>23.549999999999681</v>
      </c>
      <c r="AT58">
        <v>8.879999999999967</v>
      </c>
      <c r="AU58">
        <v>1.1699999999998709</v>
      </c>
      <c r="AV58">
        <v>0</v>
      </c>
      <c r="AW58">
        <v>14.4</v>
      </c>
      <c r="AX58">
        <v>33.599999999999511</v>
      </c>
      <c r="AY58">
        <v>23.999999999999751</v>
      </c>
      <c r="AZ58">
        <v>14.400000000000009</v>
      </c>
      <c r="BA58">
        <v>33.599999999999511</v>
      </c>
      <c r="BB58">
        <v>23.999999999999758</v>
      </c>
      <c r="BC58">
        <v>11.77499999999984</v>
      </c>
      <c r="BD58">
        <v>5.2199999999999918</v>
      </c>
      <c r="BE58">
        <v>1.2299999999999269</v>
      </c>
      <c r="BF58">
        <v>5.7750000000000004</v>
      </c>
    </row>
    <row r="59" spans="1:58" x14ac:dyDescent="0.2">
      <c r="A59">
        <v>321</v>
      </c>
      <c r="B59">
        <v>37.5</v>
      </c>
      <c r="C59">
        <v>208.33333333333329</v>
      </c>
      <c r="D59">
        <v>250</v>
      </c>
      <c r="E59">
        <v>208.33333333333329</v>
      </c>
      <c r="F59">
        <f t="shared" si="11"/>
        <v>458.33333333333326</v>
      </c>
      <c r="G59">
        <f t="shared" si="11"/>
        <v>458.33333333333326</v>
      </c>
      <c r="H59">
        <v>833.33333333333337</v>
      </c>
      <c r="I59">
        <v>0.16666666666666671</v>
      </c>
      <c r="J59">
        <v>0.33333333333333343</v>
      </c>
      <c r="K59">
        <v>0.16666666666666671</v>
      </c>
      <c r="L59">
        <f t="shared" si="1"/>
        <v>0.50000000000000011</v>
      </c>
      <c r="M59">
        <f t="shared" si="2"/>
        <v>0.50000000000000011</v>
      </c>
      <c r="N59">
        <v>0.66666666666666674</v>
      </c>
      <c r="O59">
        <f t="shared" si="3"/>
        <v>0.11666666666666671</v>
      </c>
      <c r="P59">
        <f t="shared" si="4"/>
        <v>1.6666666666666552E-2</v>
      </c>
      <c r="Q59">
        <f t="shared" si="5"/>
        <v>6.6666666666666707E-2</v>
      </c>
      <c r="R59">
        <f t="shared" si="5"/>
        <v>0</v>
      </c>
      <c r="S59">
        <f t="shared" si="6"/>
        <v>0</v>
      </c>
      <c r="T59">
        <f t="shared" si="7"/>
        <v>0.16666666666666674</v>
      </c>
      <c r="U59">
        <f t="shared" si="8"/>
        <v>0.2034425935955618</v>
      </c>
      <c r="V59">
        <f t="shared" si="9"/>
        <v>0.13540064007726604</v>
      </c>
      <c r="W59">
        <f t="shared" si="10"/>
        <v>0.16666666666666674</v>
      </c>
      <c r="X59">
        <v>0</v>
      </c>
      <c r="Y59">
        <v>2.4</v>
      </c>
      <c r="Z59">
        <v>55.2</v>
      </c>
      <c r="AA59">
        <v>64.8</v>
      </c>
      <c r="AB59">
        <v>0</v>
      </c>
      <c r="AC59">
        <v>0</v>
      </c>
      <c r="AD59">
        <v>0</v>
      </c>
      <c r="AE59">
        <v>0</v>
      </c>
      <c r="AF59">
        <v>23.99999999999962</v>
      </c>
      <c r="AG59">
        <v>80.000000000000014</v>
      </c>
      <c r="AH59">
        <v>103.9999999999996</v>
      </c>
      <c r="AI59">
        <v>18.133333333333361</v>
      </c>
      <c r="AJ59">
        <v>7.7831111111111237</v>
      </c>
      <c r="AK59">
        <v>4.2791111111111171</v>
      </c>
      <c r="AL59">
        <v>8.5333333333333279</v>
      </c>
      <c r="AM59">
        <v>38.728888888888918</v>
      </c>
      <c r="AN59">
        <v>180</v>
      </c>
      <c r="AO59">
        <v>0</v>
      </c>
      <c r="AP59">
        <v>4.4800000000000484</v>
      </c>
      <c r="AQ59">
        <v>1.9200000000001129</v>
      </c>
      <c r="AR59">
        <v>10.399999999999681</v>
      </c>
      <c r="AS59">
        <v>22.399999999999679</v>
      </c>
      <c r="AT59">
        <v>5.4399999999999844</v>
      </c>
      <c r="AU59">
        <v>3.3600000000000159</v>
      </c>
      <c r="AV59">
        <v>0</v>
      </c>
      <c r="AW59">
        <v>16.799999999999841</v>
      </c>
      <c r="AX59">
        <v>31.19999999999968</v>
      </c>
      <c r="AY59">
        <v>23.999999999999758</v>
      </c>
      <c r="AZ59">
        <v>16.799999999999841</v>
      </c>
      <c r="BA59">
        <v>31.19999999999952</v>
      </c>
      <c r="BB59">
        <v>23.99999999999968</v>
      </c>
      <c r="BC59">
        <v>11.199999999999839</v>
      </c>
      <c r="BD59">
        <v>4.960000000000016</v>
      </c>
      <c r="BE59">
        <v>2.640000000000065</v>
      </c>
      <c r="BF59">
        <v>5.1999999999998394</v>
      </c>
    </row>
    <row r="60" spans="1:58" x14ac:dyDescent="0.2">
      <c r="A60">
        <v>321</v>
      </c>
      <c r="B60">
        <v>35</v>
      </c>
      <c r="C60">
        <v>208.33333333333329</v>
      </c>
      <c r="D60">
        <v>250</v>
      </c>
      <c r="E60">
        <v>208.33333333333329</v>
      </c>
      <c r="F60">
        <f t="shared" si="11"/>
        <v>458.33333333333326</v>
      </c>
      <c r="G60">
        <f t="shared" si="11"/>
        <v>458.33333333333326</v>
      </c>
      <c r="H60">
        <v>833.33333333333337</v>
      </c>
      <c r="I60">
        <v>0.1785714285714286</v>
      </c>
      <c r="J60">
        <v>0.35714285714285721</v>
      </c>
      <c r="K60">
        <v>0.1785714285714286</v>
      </c>
      <c r="L60">
        <f t="shared" si="1"/>
        <v>0.53571428571428581</v>
      </c>
      <c r="M60">
        <f t="shared" si="2"/>
        <v>0.53571428571428581</v>
      </c>
      <c r="N60">
        <v>0.7142857142857143</v>
      </c>
      <c r="O60">
        <f t="shared" si="3"/>
        <v>0.12857142857142861</v>
      </c>
      <c r="P60">
        <f t="shared" si="4"/>
        <v>0</v>
      </c>
      <c r="Q60">
        <f t="shared" si="5"/>
        <v>7.8571428571428598E-2</v>
      </c>
      <c r="R60">
        <f t="shared" si="5"/>
        <v>0</v>
      </c>
      <c r="S60">
        <f t="shared" si="6"/>
        <v>0</v>
      </c>
      <c r="T60">
        <f t="shared" si="7"/>
        <v>0.2142857142857143</v>
      </c>
      <c r="U60">
        <f t="shared" si="8"/>
        <v>0.24989793835051291</v>
      </c>
      <c r="V60">
        <f t="shared" si="9"/>
        <v>0.15067873649806424</v>
      </c>
      <c r="W60">
        <f t="shared" si="10"/>
        <v>0.2142857142857143</v>
      </c>
      <c r="X60">
        <v>0</v>
      </c>
      <c r="Y60">
        <v>0</v>
      </c>
      <c r="Z60">
        <v>54</v>
      </c>
      <c r="AA60">
        <v>56.4</v>
      </c>
      <c r="AB60">
        <v>0</v>
      </c>
      <c r="AC60">
        <v>0</v>
      </c>
      <c r="AD60">
        <v>0</v>
      </c>
      <c r="AE60">
        <v>0</v>
      </c>
      <c r="AF60">
        <v>25.714285714285651</v>
      </c>
      <c r="AG60">
        <v>85.714285714285722</v>
      </c>
      <c r="AH60">
        <v>111.4285714285714</v>
      </c>
      <c r="AI60">
        <v>18.428571428571459</v>
      </c>
      <c r="AJ60">
        <v>6.2857142857142954</v>
      </c>
      <c r="AK60">
        <v>1.459183673469387</v>
      </c>
      <c r="AL60">
        <v>16.683673469387781</v>
      </c>
      <c r="AM60">
        <v>42.857142857142918</v>
      </c>
      <c r="AN60">
        <v>180</v>
      </c>
      <c r="AO60">
        <v>0</v>
      </c>
      <c r="AP60">
        <v>7.5428571428571658</v>
      </c>
      <c r="AQ60">
        <v>1.7510204081632159</v>
      </c>
      <c r="AR60">
        <v>20.02040816326512</v>
      </c>
      <c r="AS60">
        <v>22.114285714285831</v>
      </c>
      <c r="AT60">
        <v>0</v>
      </c>
      <c r="AU60">
        <v>0</v>
      </c>
      <c r="AV60">
        <v>0</v>
      </c>
      <c r="AW60">
        <v>29.3142857142855</v>
      </c>
      <c r="AX60">
        <v>22.114285714285831</v>
      </c>
      <c r="AY60">
        <v>25.714285714285669</v>
      </c>
      <c r="AZ60">
        <v>29.314285714285688</v>
      </c>
      <c r="BA60">
        <v>22.114285714285611</v>
      </c>
      <c r="BB60">
        <v>25.714285714285651</v>
      </c>
      <c r="BC60">
        <v>11.057142857142919</v>
      </c>
      <c r="BD60">
        <v>3.7714285714285829</v>
      </c>
      <c r="BE60">
        <v>0.87551020408160796</v>
      </c>
      <c r="BF60">
        <v>10.01020408163256</v>
      </c>
    </row>
    <row r="61" spans="1:58" x14ac:dyDescent="0.2">
      <c r="A61">
        <v>321</v>
      </c>
      <c r="B61">
        <v>32.5</v>
      </c>
      <c r="C61">
        <v>208.33333333333329</v>
      </c>
      <c r="D61">
        <v>250</v>
      </c>
      <c r="E61">
        <v>208.33333333333329</v>
      </c>
      <c r="F61">
        <f t="shared" si="11"/>
        <v>458.33333333333326</v>
      </c>
      <c r="G61">
        <f t="shared" si="11"/>
        <v>458.33333333333326</v>
      </c>
      <c r="H61">
        <v>833.33333333333337</v>
      </c>
      <c r="I61">
        <v>0.19230769230769229</v>
      </c>
      <c r="J61">
        <v>0.38461538461538458</v>
      </c>
      <c r="K61">
        <v>0.19230769230769229</v>
      </c>
      <c r="L61">
        <f t="shared" si="1"/>
        <v>0.57692307692307687</v>
      </c>
      <c r="M61">
        <f t="shared" si="2"/>
        <v>0.57692307692307687</v>
      </c>
      <c r="N61">
        <v>0.76923076923076927</v>
      </c>
      <c r="O61">
        <f t="shared" si="3"/>
        <v>0.1423076923076923</v>
      </c>
      <c r="P61">
        <f t="shared" si="4"/>
        <v>0</v>
      </c>
      <c r="Q61">
        <f t="shared" si="5"/>
        <v>9.2307692307692285E-2</v>
      </c>
      <c r="R61">
        <f t="shared" si="5"/>
        <v>0</v>
      </c>
      <c r="S61">
        <f t="shared" si="6"/>
        <v>2.6923076923076827E-2</v>
      </c>
      <c r="T61">
        <f t="shared" si="7"/>
        <v>0.23076923076923073</v>
      </c>
      <c r="U61">
        <f t="shared" si="8"/>
        <v>0.27111974690118623</v>
      </c>
      <c r="V61">
        <f t="shared" si="9"/>
        <v>0.16962366977846111</v>
      </c>
      <c r="W61">
        <f t="shared" si="10"/>
        <v>0.23233443554675312</v>
      </c>
      <c r="X61">
        <v>0</v>
      </c>
      <c r="Y61">
        <v>94.8</v>
      </c>
      <c r="Z61">
        <v>25.2</v>
      </c>
      <c r="AA61">
        <v>25.2</v>
      </c>
      <c r="AB61">
        <v>0</v>
      </c>
      <c r="AC61">
        <v>0</v>
      </c>
      <c r="AD61">
        <v>0</v>
      </c>
      <c r="AE61">
        <v>0</v>
      </c>
      <c r="AF61">
        <v>27.692307692307669</v>
      </c>
      <c r="AG61">
        <v>92.307692307692321</v>
      </c>
      <c r="AH61">
        <v>120</v>
      </c>
      <c r="AI61">
        <v>1.7692307692307589</v>
      </c>
      <c r="AJ61">
        <v>24.492307692307701</v>
      </c>
      <c r="AK61">
        <v>2.1394082840236779</v>
      </c>
      <c r="AL61">
        <v>17.752899408283959</v>
      </c>
      <c r="AM61">
        <v>46.153846153846096</v>
      </c>
      <c r="AN61">
        <v>180</v>
      </c>
      <c r="AO61">
        <v>0</v>
      </c>
      <c r="AP61">
        <v>29.021538461538469</v>
      </c>
      <c r="AQ61">
        <v>2.567289940828374</v>
      </c>
      <c r="AR61">
        <v>21.30347928994096</v>
      </c>
      <c r="AS61">
        <v>2.1230769230770719</v>
      </c>
      <c r="AT61">
        <v>0.36923076923081283</v>
      </c>
      <c r="AU61">
        <v>0</v>
      </c>
      <c r="AV61">
        <v>0</v>
      </c>
      <c r="AW61">
        <v>52.89230769230781</v>
      </c>
      <c r="AX61">
        <v>2.4923076923078851</v>
      </c>
      <c r="AY61">
        <v>27.69230769230785</v>
      </c>
      <c r="AZ61">
        <v>52.892307692307703</v>
      </c>
      <c r="BA61">
        <v>2.4923076923077052</v>
      </c>
      <c r="BB61">
        <v>27.692307692307701</v>
      </c>
      <c r="BC61">
        <v>1.0615384615385359</v>
      </c>
      <c r="BD61">
        <v>14.69538461538464</v>
      </c>
      <c r="BE61">
        <v>1.283644970414187</v>
      </c>
      <c r="BF61">
        <v>10.65173964497048</v>
      </c>
    </row>
    <row r="62" spans="1:58" x14ac:dyDescent="0.2">
      <c r="A62">
        <v>321</v>
      </c>
      <c r="B62">
        <v>30</v>
      </c>
      <c r="C62">
        <v>208.33333333333329</v>
      </c>
      <c r="D62">
        <v>250</v>
      </c>
      <c r="E62">
        <v>208.33333333333329</v>
      </c>
      <c r="F62">
        <f t="shared" si="11"/>
        <v>458.33333333333326</v>
      </c>
      <c r="G62">
        <f t="shared" si="11"/>
        <v>458.33333333333326</v>
      </c>
      <c r="H62">
        <v>833.33333333333337</v>
      </c>
      <c r="I62">
        <v>0.20833333333333329</v>
      </c>
      <c r="J62">
        <v>0.41666666666666669</v>
      </c>
      <c r="K62">
        <v>0.20833333333333329</v>
      </c>
      <c r="L62">
        <f t="shared" si="1"/>
        <v>0.625</v>
      </c>
      <c r="M62">
        <f t="shared" si="2"/>
        <v>0.625</v>
      </c>
      <c r="N62">
        <v>0.83333333333333337</v>
      </c>
      <c r="O62">
        <f t="shared" si="3"/>
        <v>0.15833333333333327</v>
      </c>
      <c r="P62">
        <f t="shared" si="4"/>
        <v>0</v>
      </c>
      <c r="Q62">
        <f t="shared" si="5"/>
        <v>0.10833333333333328</v>
      </c>
      <c r="R62">
        <f t="shared" si="5"/>
        <v>2.5000000000000022E-2</v>
      </c>
      <c r="S62">
        <f t="shared" si="6"/>
        <v>7.4999999999999956E-2</v>
      </c>
      <c r="T62">
        <f t="shared" si="7"/>
        <v>0.16666666666666663</v>
      </c>
      <c r="U62">
        <f t="shared" si="8"/>
        <v>0.2298852370688953</v>
      </c>
      <c r="V62">
        <f t="shared" si="9"/>
        <v>0.19184774055368889</v>
      </c>
      <c r="W62">
        <f t="shared" si="10"/>
        <v>0.18446619684315541</v>
      </c>
      <c r="X62">
        <v>0</v>
      </c>
      <c r="Y62">
        <v>9.6</v>
      </c>
      <c r="Z62">
        <v>68.399999999999991</v>
      </c>
      <c r="AA62">
        <v>94.8</v>
      </c>
      <c r="AB62">
        <v>0</v>
      </c>
      <c r="AC62">
        <v>0</v>
      </c>
      <c r="AD62">
        <v>0</v>
      </c>
      <c r="AE62">
        <v>0</v>
      </c>
      <c r="AF62">
        <v>27.99999999999984</v>
      </c>
      <c r="AG62">
        <v>100</v>
      </c>
      <c r="AH62">
        <v>127.9999999999998</v>
      </c>
      <c r="AI62">
        <v>23.286000000000001</v>
      </c>
      <c r="AJ62">
        <v>7.3666666666666352</v>
      </c>
      <c r="AK62">
        <v>14.115555555555559</v>
      </c>
      <c r="AL62">
        <v>1.651111111111135</v>
      </c>
      <c r="AM62">
        <v>46.419333333333327</v>
      </c>
      <c r="AN62">
        <v>180</v>
      </c>
      <c r="AO62">
        <v>0</v>
      </c>
      <c r="AP62">
        <v>2.7200000000000322</v>
      </c>
      <c r="AQ62">
        <v>0.49866666666663761</v>
      </c>
      <c r="AR62">
        <v>1.9813333333334919</v>
      </c>
      <c r="AS62">
        <v>28.239999999999981</v>
      </c>
      <c r="AT62">
        <v>6.1200000000001129</v>
      </c>
      <c r="AU62">
        <v>16.43999999999998</v>
      </c>
      <c r="AV62">
        <v>0</v>
      </c>
      <c r="AW62">
        <v>5.2000000000001609</v>
      </c>
      <c r="AX62">
        <v>50.800000000000082</v>
      </c>
      <c r="AY62">
        <v>28.000000000000121</v>
      </c>
      <c r="AZ62">
        <v>5.2000000000000028</v>
      </c>
      <c r="BA62">
        <v>50.800000000000011</v>
      </c>
      <c r="BB62">
        <v>28.000000000000011</v>
      </c>
      <c r="BC62">
        <v>14.11999999999999</v>
      </c>
      <c r="BD62">
        <v>4.4200000000000728</v>
      </c>
      <c r="BE62">
        <v>8.4693333333333101</v>
      </c>
      <c r="BF62">
        <v>0.99066666666674585</v>
      </c>
    </row>
    <row r="63" spans="1:58" x14ac:dyDescent="0.2">
      <c r="A63">
        <v>321</v>
      </c>
      <c r="B63">
        <v>27.5</v>
      </c>
      <c r="C63">
        <v>208.33333333333329</v>
      </c>
      <c r="D63">
        <v>250</v>
      </c>
      <c r="E63">
        <v>208.33333333333329</v>
      </c>
      <c r="F63">
        <f t="shared" si="11"/>
        <v>458.33333333333326</v>
      </c>
      <c r="G63">
        <f t="shared" si="11"/>
        <v>458.33333333333326</v>
      </c>
      <c r="H63">
        <v>833.33333333333337</v>
      </c>
      <c r="I63">
        <v>0.22727272727272729</v>
      </c>
      <c r="J63">
        <v>0.45454545454545459</v>
      </c>
      <c r="K63">
        <v>0.22727272727272729</v>
      </c>
      <c r="L63">
        <f t="shared" si="1"/>
        <v>0.68181818181818188</v>
      </c>
      <c r="M63">
        <f t="shared" si="2"/>
        <v>0.68181818181818188</v>
      </c>
      <c r="N63">
        <v>0.90909090909090917</v>
      </c>
      <c r="O63">
        <f t="shared" si="3"/>
        <v>0.1772727272727273</v>
      </c>
      <c r="P63">
        <f t="shared" si="4"/>
        <v>0</v>
      </c>
      <c r="Q63">
        <f t="shared" si="5"/>
        <v>0.12727272727272729</v>
      </c>
      <c r="R63">
        <f t="shared" si="5"/>
        <v>8.1818181818181901E-2</v>
      </c>
      <c r="S63">
        <f t="shared" si="6"/>
        <v>0.13181818181818183</v>
      </c>
      <c r="T63">
        <f t="shared" si="7"/>
        <v>9.0909090909090828E-2</v>
      </c>
      <c r="U63">
        <f t="shared" si="8"/>
        <v>0.19922370000737386</v>
      </c>
      <c r="V63">
        <f t="shared" si="9"/>
        <v>0.21822916153014191</v>
      </c>
      <c r="W63">
        <f t="shared" si="10"/>
        <v>0.17981854949865894</v>
      </c>
      <c r="X63">
        <v>0</v>
      </c>
      <c r="Y63">
        <v>0</v>
      </c>
      <c r="Z63">
        <v>54</v>
      </c>
      <c r="AA63">
        <v>84</v>
      </c>
      <c r="AB63">
        <v>0</v>
      </c>
      <c r="AC63">
        <v>0</v>
      </c>
      <c r="AD63">
        <v>0</v>
      </c>
      <c r="AE63">
        <v>0</v>
      </c>
      <c r="AF63">
        <v>37.090909090908617</v>
      </c>
      <c r="AG63">
        <v>109.09090909090909</v>
      </c>
      <c r="AH63">
        <v>146.1818181818177</v>
      </c>
      <c r="AI63">
        <v>18.28429752066112</v>
      </c>
      <c r="AJ63">
        <v>16.090909090909079</v>
      </c>
      <c r="AK63">
        <v>16.63636363636363</v>
      </c>
      <c r="AL63">
        <v>10.72727272727273</v>
      </c>
      <c r="AM63">
        <v>61.738842975206538</v>
      </c>
      <c r="AN63">
        <v>180</v>
      </c>
      <c r="AO63">
        <v>0</v>
      </c>
      <c r="AP63">
        <v>12.21818181818178</v>
      </c>
      <c r="AQ63">
        <v>0</v>
      </c>
      <c r="AR63">
        <v>12.87272727272688</v>
      </c>
      <c r="AS63">
        <v>22.036363636363561</v>
      </c>
      <c r="AT63">
        <v>7.0909090909088262</v>
      </c>
      <c r="AU63">
        <v>19.963636363636279</v>
      </c>
      <c r="AV63">
        <v>0</v>
      </c>
      <c r="AW63">
        <v>25.090909090908671</v>
      </c>
      <c r="AX63">
        <v>49.090909090908667</v>
      </c>
      <c r="AY63">
        <v>37.090909090908667</v>
      </c>
      <c r="AZ63">
        <v>25.090909090908639</v>
      </c>
      <c r="BA63">
        <v>49.090909090908717</v>
      </c>
      <c r="BB63">
        <v>37.090909090908681</v>
      </c>
      <c r="BC63">
        <v>11.01818181818178</v>
      </c>
      <c r="BD63">
        <v>9.6545454545453033</v>
      </c>
      <c r="BE63">
        <v>9.981818181818138</v>
      </c>
      <c r="BF63">
        <v>6.436363636363442</v>
      </c>
    </row>
    <row r="64" spans="1:58" x14ac:dyDescent="0.2">
      <c r="A64">
        <v>321</v>
      </c>
      <c r="B64">
        <v>25</v>
      </c>
      <c r="C64">
        <v>208.33333333333329</v>
      </c>
      <c r="D64">
        <v>250</v>
      </c>
      <c r="E64">
        <v>208.33333333333329</v>
      </c>
      <c r="F64">
        <f t="shared" si="11"/>
        <v>458.33333333333326</v>
      </c>
      <c r="G64">
        <f t="shared" si="11"/>
        <v>458.33333333333326</v>
      </c>
      <c r="H64">
        <v>833.33333333333337</v>
      </c>
      <c r="I64">
        <v>0.25</v>
      </c>
      <c r="J64">
        <v>0.5</v>
      </c>
      <c r="K64">
        <v>0.25</v>
      </c>
      <c r="L64">
        <f t="shared" si="1"/>
        <v>0.75</v>
      </c>
      <c r="M64">
        <f t="shared" si="2"/>
        <v>0.75</v>
      </c>
      <c r="N64">
        <v>1</v>
      </c>
      <c r="O64">
        <f t="shared" si="3"/>
        <v>0.2</v>
      </c>
      <c r="P64">
        <f t="shared" si="4"/>
        <v>0</v>
      </c>
      <c r="Q64">
        <f t="shared" si="5"/>
        <v>0.15</v>
      </c>
      <c r="R64">
        <f t="shared" si="5"/>
        <v>0.15000000000000002</v>
      </c>
      <c r="S64">
        <f t="shared" si="6"/>
        <v>0.19999999999999996</v>
      </c>
      <c r="T64">
        <f t="shared" si="7"/>
        <v>0</v>
      </c>
      <c r="U64">
        <f t="shared" si="8"/>
        <v>0.2</v>
      </c>
      <c r="V64">
        <f t="shared" si="9"/>
        <v>0.25</v>
      </c>
      <c r="W64">
        <f t="shared" si="10"/>
        <v>0.24999999999999997</v>
      </c>
      <c r="X64">
        <v>0</v>
      </c>
      <c r="Y64">
        <v>16.8</v>
      </c>
      <c r="Z64">
        <v>87.6</v>
      </c>
      <c r="AA64">
        <v>118.8</v>
      </c>
      <c r="AB64">
        <v>0</v>
      </c>
      <c r="AC64">
        <v>0</v>
      </c>
      <c r="AD64">
        <v>0</v>
      </c>
      <c r="AE64">
        <v>0</v>
      </c>
      <c r="AF64">
        <v>47.999999999999517</v>
      </c>
      <c r="AG64">
        <v>120</v>
      </c>
      <c r="AH64">
        <v>167.99999999999949</v>
      </c>
      <c r="AI64">
        <v>38.999999999999957</v>
      </c>
      <c r="AJ64">
        <v>22.20000000000001</v>
      </c>
      <c r="AK64">
        <v>18.77999999999999</v>
      </c>
      <c r="AL64">
        <v>1.9999999999998859E-2</v>
      </c>
      <c r="AM64">
        <v>79.999999999999957</v>
      </c>
      <c r="AN64">
        <v>180</v>
      </c>
      <c r="AO64">
        <v>0</v>
      </c>
      <c r="AP64">
        <v>0.960000000000097</v>
      </c>
      <c r="AQ64">
        <v>0.21600000000002589</v>
      </c>
      <c r="AR64">
        <v>2.399999999923037E-2</v>
      </c>
      <c r="AS64">
        <v>46.799999999999841</v>
      </c>
      <c r="AT64">
        <v>25.679999999999801</v>
      </c>
      <c r="AU64">
        <v>22.319999999999951</v>
      </c>
      <c r="AV64">
        <v>0</v>
      </c>
      <c r="AW64">
        <v>1.1999999999993529</v>
      </c>
      <c r="AX64">
        <v>94.799999999999599</v>
      </c>
      <c r="AY64">
        <v>47.999999999999467</v>
      </c>
      <c r="AZ64">
        <v>1.199999999999193</v>
      </c>
      <c r="BA64">
        <v>94.799999999999841</v>
      </c>
      <c r="BB64">
        <v>47.999999999999517</v>
      </c>
      <c r="BC64">
        <v>23.39999999999992</v>
      </c>
      <c r="BD64">
        <v>13.319999999999951</v>
      </c>
      <c r="BE64">
        <v>11.26799999999999</v>
      </c>
      <c r="BF64">
        <v>1.199999999961518E-2</v>
      </c>
    </row>
    <row r="65" spans="1:58" x14ac:dyDescent="0.2">
      <c r="A65">
        <v>321</v>
      </c>
      <c r="B65">
        <v>22.5</v>
      </c>
      <c r="C65">
        <v>208.33333333333329</v>
      </c>
      <c r="D65">
        <v>250</v>
      </c>
      <c r="E65">
        <v>208.33333333333329</v>
      </c>
      <c r="F65">
        <f t="shared" si="11"/>
        <v>458.33333333333326</v>
      </c>
      <c r="G65">
        <f t="shared" si="11"/>
        <v>458.33333333333326</v>
      </c>
      <c r="H65">
        <v>833.33333333333337</v>
      </c>
      <c r="I65">
        <v>0.27777777777777779</v>
      </c>
      <c r="J65">
        <v>0.55555555555555558</v>
      </c>
      <c r="K65">
        <v>0.27777777777777779</v>
      </c>
      <c r="L65">
        <f t="shared" si="1"/>
        <v>0.83333333333333337</v>
      </c>
      <c r="M65">
        <f t="shared" si="2"/>
        <v>0.83333333333333337</v>
      </c>
      <c r="N65">
        <v>1.1111111111111109</v>
      </c>
      <c r="O65">
        <f t="shared" si="3"/>
        <v>0.17222222222222222</v>
      </c>
      <c r="P65">
        <f t="shared" si="4"/>
        <v>0</v>
      </c>
      <c r="Q65">
        <f t="shared" si="5"/>
        <v>0.12222222222222223</v>
      </c>
      <c r="R65">
        <f t="shared" si="5"/>
        <v>6.6666666666666652E-2</v>
      </c>
      <c r="S65">
        <f t="shared" si="6"/>
        <v>0.11666666666666659</v>
      </c>
      <c r="T65">
        <f t="shared" si="7"/>
        <v>0.11111111111111094</v>
      </c>
      <c r="U65">
        <f t="shared" si="8"/>
        <v>0.20495407495218565</v>
      </c>
      <c r="V65">
        <f t="shared" si="9"/>
        <v>0.21118419787498013</v>
      </c>
      <c r="W65">
        <f t="shared" si="10"/>
        <v>0.17435949807194667</v>
      </c>
      <c r="X65">
        <v>0</v>
      </c>
      <c r="Y65">
        <v>9.6</v>
      </c>
      <c r="Z65">
        <v>91.2</v>
      </c>
      <c r="AA65">
        <v>4.8</v>
      </c>
      <c r="AB65">
        <v>0</v>
      </c>
      <c r="AC65">
        <v>0</v>
      </c>
      <c r="AD65">
        <v>0</v>
      </c>
      <c r="AE65">
        <v>0</v>
      </c>
      <c r="AF65">
        <v>41.333333333333158</v>
      </c>
      <c r="AG65">
        <v>133.33333333333329</v>
      </c>
      <c r="AH65">
        <v>174.66666666666649</v>
      </c>
      <c r="AI65">
        <v>29.099259259259231</v>
      </c>
      <c r="AJ65">
        <v>13.70074074074074</v>
      </c>
      <c r="AK65">
        <v>25.4733827160494</v>
      </c>
      <c r="AL65">
        <v>0.18646913580245961</v>
      </c>
      <c r="AM65">
        <v>68.459851851851838</v>
      </c>
      <c r="AN65">
        <v>180</v>
      </c>
      <c r="AO65">
        <v>0</v>
      </c>
      <c r="AP65">
        <v>9.3866666666666188</v>
      </c>
      <c r="AQ65">
        <v>5.2799999999999674</v>
      </c>
      <c r="AR65">
        <v>0.26666666666650501</v>
      </c>
      <c r="AS65">
        <v>34.919111111111278</v>
      </c>
      <c r="AT65">
        <v>7.0542222222222737</v>
      </c>
      <c r="AU65">
        <v>25.759999999999931</v>
      </c>
      <c r="AV65">
        <v>0</v>
      </c>
      <c r="AW65">
        <v>14.93333333333309</v>
      </c>
      <c r="AX65">
        <v>67.733333333333491</v>
      </c>
      <c r="AY65">
        <v>41.333333333333293</v>
      </c>
      <c r="AZ65">
        <v>14.9333333333332</v>
      </c>
      <c r="BA65">
        <v>67.733333333333178</v>
      </c>
      <c r="BB65">
        <v>41.333333333333186</v>
      </c>
      <c r="BC65">
        <v>17.459555555555639</v>
      </c>
      <c r="BD65">
        <v>8.2204444444444462</v>
      </c>
      <c r="BE65">
        <v>15.51999999999995</v>
      </c>
      <c r="BF65">
        <v>0.13333333333325251</v>
      </c>
    </row>
    <row r="66" spans="1:58" x14ac:dyDescent="0.2">
      <c r="A66">
        <v>321</v>
      </c>
      <c r="B66">
        <v>20</v>
      </c>
      <c r="C66">
        <v>208.33333333333329</v>
      </c>
      <c r="D66">
        <v>250</v>
      </c>
      <c r="E66">
        <v>208.33333333333329</v>
      </c>
      <c r="F66">
        <f t="shared" ref="F66:G97" si="12">C66+D66</f>
        <v>458.33333333333326</v>
      </c>
      <c r="G66">
        <f t="shared" si="12"/>
        <v>458.33333333333326</v>
      </c>
      <c r="H66">
        <v>833.33333333333337</v>
      </c>
      <c r="I66">
        <v>0.31250000000000011</v>
      </c>
      <c r="J66">
        <v>0.62500000000000011</v>
      </c>
      <c r="K66">
        <v>0.31250000000000011</v>
      </c>
      <c r="L66">
        <f t="shared" si="1"/>
        <v>0.93750000000000022</v>
      </c>
      <c r="M66">
        <f t="shared" si="2"/>
        <v>0.93750000000000022</v>
      </c>
      <c r="N66">
        <v>1.25</v>
      </c>
      <c r="O66">
        <f t="shared" si="3"/>
        <v>0.1374999999999999</v>
      </c>
      <c r="P66">
        <f t="shared" si="4"/>
        <v>0</v>
      </c>
      <c r="Q66">
        <f t="shared" si="5"/>
        <v>8.7499999999999911E-2</v>
      </c>
      <c r="R66">
        <f t="shared" si="5"/>
        <v>0</v>
      </c>
      <c r="S66">
        <f t="shared" si="6"/>
        <v>1.2499999999999734E-2</v>
      </c>
      <c r="T66">
        <f t="shared" si="7"/>
        <v>0.25</v>
      </c>
      <c r="U66">
        <f t="shared" si="8"/>
        <v>0.28531780526283312</v>
      </c>
      <c r="V66">
        <f t="shared" si="9"/>
        <v>0.16298006013006608</v>
      </c>
      <c r="W66">
        <f t="shared" si="10"/>
        <v>0.25031230493125983</v>
      </c>
      <c r="X66">
        <v>0</v>
      </c>
      <c r="Y66">
        <v>32.4</v>
      </c>
      <c r="Z66">
        <v>88.8</v>
      </c>
      <c r="AA66">
        <v>30</v>
      </c>
      <c r="AB66">
        <v>0</v>
      </c>
      <c r="AC66">
        <v>0</v>
      </c>
      <c r="AD66">
        <v>0</v>
      </c>
      <c r="AE66">
        <v>0</v>
      </c>
      <c r="AF66">
        <v>30</v>
      </c>
      <c r="AG66">
        <v>150</v>
      </c>
      <c r="AH66">
        <v>180</v>
      </c>
      <c r="AI66">
        <v>32.250000000000007</v>
      </c>
      <c r="AJ66">
        <v>0</v>
      </c>
      <c r="AK66">
        <v>17.75</v>
      </c>
      <c r="AL66">
        <v>0</v>
      </c>
      <c r="AM66">
        <v>50.000000000000007</v>
      </c>
      <c r="AN66">
        <v>180</v>
      </c>
      <c r="AO66">
        <v>0</v>
      </c>
      <c r="AP66">
        <v>0</v>
      </c>
      <c r="AQ66">
        <v>0</v>
      </c>
      <c r="AR66">
        <v>0</v>
      </c>
      <c r="AS66">
        <v>38.700000000000003</v>
      </c>
      <c r="AT66">
        <v>0</v>
      </c>
      <c r="AU66">
        <v>21.3</v>
      </c>
      <c r="AV66">
        <v>0</v>
      </c>
      <c r="AW66">
        <v>0</v>
      </c>
      <c r="AX66">
        <v>60</v>
      </c>
      <c r="AY66">
        <v>30</v>
      </c>
      <c r="AZ66">
        <v>0</v>
      </c>
      <c r="BA66">
        <v>60</v>
      </c>
      <c r="BB66">
        <v>30</v>
      </c>
      <c r="BC66">
        <v>19.350000000000001</v>
      </c>
      <c r="BD66">
        <v>0</v>
      </c>
      <c r="BE66">
        <v>10.65</v>
      </c>
      <c r="BF66">
        <v>0</v>
      </c>
    </row>
    <row r="67" spans="1:58" x14ac:dyDescent="0.2">
      <c r="A67">
        <v>322</v>
      </c>
      <c r="B67">
        <v>50</v>
      </c>
      <c r="C67">
        <v>291.66666666666669</v>
      </c>
      <c r="D67">
        <v>250</v>
      </c>
      <c r="E67">
        <v>291.66666666666669</v>
      </c>
      <c r="F67">
        <f t="shared" si="12"/>
        <v>541.66666666666674</v>
      </c>
      <c r="G67">
        <f t="shared" si="12"/>
        <v>541.66666666666674</v>
      </c>
      <c r="H67">
        <v>1000</v>
      </c>
      <c r="I67">
        <v>0.17499999999999999</v>
      </c>
      <c r="J67">
        <v>0.25</v>
      </c>
      <c r="K67">
        <v>0.17499999999999999</v>
      </c>
      <c r="L67">
        <f t="shared" ref="L67:L130" si="13">SUM(I67:J67)</f>
        <v>0.42499999999999999</v>
      </c>
      <c r="M67">
        <f t="shared" ref="M67:M130" si="14">SUM(J67:K67)</f>
        <v>0.42499999999999999</v>
      </c>
      <c r="N67">
        <v>0.60000000000000009</v>
      </c>
      <c r="O67">
        <f t="shared" ref="O67:O130" si="15">_xlfn.LET(_xlpm.x,MOD(I67,1),IF(OR(AND(_xlpm.x&gt;=0.45,_xlpm.x&lt;=0.55),_xlpm.x&gt;=0.95,_xlpm.x&lt;=0.05),0,IF(_xlpm.x&lt;0.45,MIN(0.45-_xlpm.x,_xlpm.x-0.05),MIN(_xlpm.x-0.55,0.95-_xlpm.x))))</f>
        <v>0.12499999999999999</v>
      </c>
      <c r="P67">
        <f t="shared" ref="P67:P130" si="16">_xlfn.LET(_xlpm.x,MOD(J67,1),IF(OR(AND(_xlpm.x&gt;=0.35,_xlpm.x&lt;=0.65),_xlpm.x&gt;=0.85,_xlpm.x&lt;=0.15),0,IF(_xlpm.x&lt;0.35,MIN(0.35-_xlpm.x,_xlpm.x-0.15),MIN(_xlpm.x-0.65,0.85-_xlpm.x))))</f>
        <v>9.9999999999999978E-2</v>
      </c>
      <c r="Q67">
        <f t="shared" ref="Q67:R130" si="17">_xlfn.LET(_xlpm.x,MOD(K67,1),IF(OR(AND(_xlpm.x&gt;=0.4,_xlpm.x&lt;=0.6),_xlpm.x&gt;=0.9,_xlpm.x&lt;=0.1),0,IF(_xlpm.x&lt;0.4,MIN(0.4-_xlpm.x,_xlpm.x-0.1),MIN(_xlpm.x-0.6,0.9-_xlpm.x))))</f>
        <v>7.4999999999999983E-2</v>
      </c>
      <c r="R67">
        <f t="shared" si="17"/>
        <v>0</v>
      </c>
      <c r="S67">
        <f t="shared" ref="S67:S130" si="18">_xlfn.LET(_xlpm.x,MOD(M67,1),IF(OR(AND(_xlpm.x&gt;=0.45,_xlpm.x&lt;=0.55),_xlpm.x&gt;=0.95,_xlpm.x&lt;=0.05),0,IF(_xlpm.x&lt;0.45,MIN(0.45-_xlpm.x,_xlpm.x-0.05),MIN(_xlpm.x-0.55,0.95-_xlpm.x))))</f>
        <v>2.5000000000000022E-2</v>
      </c>
      <c r="T67">
        <f t="shared" ref="T67:T130" si="19">_xlfn.LET(_xlpm.x,MOD(N67,1),MIN(MIN(_xlpm.x,1-_xlpm.x),ABS(_xlpm.x-0.5)))</f>
        <v>0.10000000000000009</v>
      </c>
      <c r="U67">
        <f t="shared" ref="U67:U130" si="20">SQRT(SUMSQ(O67,T67))</f>
        <v>0.16007810593582128</v>
      </c>
      <c r="V67">
        <f t="shared" ref="V67:V130" si="21">SQRT(SUMSQ(O67:Q67))</f>
        <v>0.17677669529663687</v>
      </c>
      <c r="W67">
        <f t="shared" ref="W67:W130" si="22">SQRT(SUMSQ(R67:T67))</f>
        <v>0.1030776406404416</v>
      </c>
      <c r="X67">
        <v>0</v>
      </c>
      <c r="Y67">
        <v>4.8</v>
      </c>
      <c r="Z67">
        <v>37.200000000000003</v>
      </c>
      <c r="AA67">
        <v>62.4</v>
      </c>
      <c r="AB67">
        <v>0</v>
      </c>
      <c r="AC67">
        <v>0</v>
      </c>
      <c r="AD67">
        <v>0</v>
      </c>
      <c r="AE67">
        <v>0</v>
      </c>
      <c r="AF67">
        <v>35.999999999999517</v>
      </c>
      <c r="AG67">
        <v>72</v>
      </c>
      <c r="AH67">
        <v>107.9999999999995</v>
      </c>
      <c r="AI67">
        <v>17.464000000000009</v>
      </c>
      <c r="AJ67">
        <v>22.477000000000029</v>
      </c>
      <c r="AK67">
        <v>11.24</v>
      </c>
      <c r="AL67">
        <v>5.0599999999999996</v>
      </c>
      <c r="AM67">
        <v>56.241000000000042</v>
      </c>
      <c r="AN67">
        <v>180</v>
      </c>
      <c r="AO67">
        <v>0</v>
      </c>
      <c r="AP67">
        <v>3.3600000000000159</v>
      </c>
      <c r="AQ67">
        <v>0.1680000000000291</v>
      </c>
      <c r="AR67">
        <v>6.0719999999992273</v>
      </c>
      <c r="AS67">
        <v>23.879999999999729</v>
      </c>
      <c r="AT67">
        <v>25.200000000000081</v>
      </c>
      <c r="AU67">
        <v>13.32000000000003</v>
      </c>
      <c r="AV67">
        <v>0</v>
      </c>
      <c r="AW67">
        <v>9.5999999999992731</v>
      </c>
      <c r="AX67">
        <v>62.399999999999842</v>
      </c>
      <c r="AY67">
        <v>35.999999999999552</v>
      </c>
      <c r="AZ67">
        <v>9.5999999999991985</v>
      </c>
      <c r="BA67">
        <v>62.399999999999842</v>
      </c>
      <c r="BB67">
        <v>35.999999999999517</v>
      </c>
      <c r="BC67">
        <v>11.939999999999859</v>
      </c>
      <c r="BD67">
        <v>14.280000000000051</v>
      </c>
      <c r="BE67">
        <v>6.7440000000000309</v>
      </c>
      <c r="BF67">
        <v>3.0359999999996141</v>
      </c>
    </row>
    <row r="68" spans="1:58" x14ac:dyDescent="0.2">
      <c r="A68">
        <v>322</v>
      </c>
      <c r="B68">
        <v>47.5</v>
      </c>
      <c r="C68">
        <v>291.66666666666669</v>
      </c>
      <c r="D68">
        <v>250</v>
      </c>
      <c r="E68">
        <v>291.66666666666669</v>
      </c>
      <c r="F68">
        <f t="shared" si="12"/>
        <v>541.66666666666674</v>
      </c>
      <c r="G68">
        <f t="shared" si="12"/>
        <v>541.66666666666674</v>
      </c>
      <c r="H68">
        <v>1000</v>
      </c>
      <c r="I68">
        <v>0.18421052631578949</v>
      </c>
      <c r="J68">
        <v>0.26315789473684209</v>
      </c>
      <c r="K68">
        <v>0.18421052631578949</v>
      </c>
      <c r="L68">
        <f t="shared" si="13"/>
        <v>0.44736842105263158</v>
      </c>
      <c r="M68">
        <f t="shared" si="14"/>
        <v>0.44736842105263158</v>
      </c>
      <c r="N68">
        <v>0.63157894736842113</v>
      </c>
      <c r="O68">
        <f t="shared" si="15"/>
        <v>0.1342105263157895</v>
      </c>
      <c r="P68">
        <f t="shared" si="16"/>
        <v>8.6842105263157887E-2</v>
      </c>
      <c r="Q68">
        <f t="shared" si="17"/>
        <v>8.4210526315789486E-2</v>
      </c>
      <c r="R68">
        <f t="shared" si="17"/>
        <v>0</v>
      </c>
      <c r="S68">
        <f t="shared" si="18"/>
        <v>2.6315789473684292E-3</v>
      </c>
      <c r="T68">
        <f t="shared" si="19"/>
        <v>0.13157894736842113</v>
      </c>
      <c r="U68">
        <f t="shared" si="20"/>
        <v>0.18795075090178001</v>
      </c>
      <c r="V68">
        <f t="shared" si="21"/>
        <v>0.18068046203970395</v>
      </c>
      <c r="W68">
        <f t="shared" si="22"/>
        <v>0.13160526052684204</v>
      </c>
      <c r="X68">
        <v>0</v>
      </c>
      <c r="Y68">
        <v>4.8</v>
      </c>
      <c r="Z68">
        <v>54</v>
      </c>
      <c r="AA68">
        <v>74.399999999999991</v>
      </c>
      <c r="AB68">
        <v>0</v>
      </c>
      <c r="AC68">
        <v>0</v>
      </c>
      <c r="AD68">
        <v>0</v>
      </c>
      <c r="AE68">
        <v>0</v>
      </c>
      <c r="AF68">
        <v>36.631578947367792</v>
      </c>
      <c r="AG68">
        <v>75.789473684210535</v>
      </c>
      <c r="AH68">
        <v>112.42105263157831</v>
      </c>
      <c r="AI68">
        <v>19.884210526315769</v>
      </c>
      <c r="AJ68">
        <v>20.63504709141273</v>
      </c>
      <c r="AK68">
        <v>14.01502493074789</v>
      </c>
      <c r="AL68">
        <v>1.1368421052631461</v>
      </c>
      <c r="AM68">
        <v>55.671124653739533</v>
      </c>
      <c r="AN68">
        <v>180</v>
      </c>
      <c r="AO68">
        <v>0</v>
      </c>
      <c r="AP68">
        <v>4.2442105263157117</v>
      </c>
      <c r="AQ68">
        <v>6.6821052631579123</v>
      </c>
      <c r="AR68">
        <v>1.7052631578948221</v>
      </c>
      <c r="AS68">
        <v>26.905263157894581</v>
      </c>
      <c r="AT68">
        <v>22.62315789473675</v>
      </c>
      <c r="AU68">
        <v>11.1031578947368</v>
      </c>
      <c r="AV68">
        <v>0</v>
      </c>
      <c r="AW68">
        <v>12.631578947368441</v>
      </c>
      <c r="AX68">
        <v>60.631578947368133</v>
      </c>
      <c r="AY68">
        <v>36.631578947368283</v>
      </c>
      <c r="AZ68">
        <v>12.63157894736811</v>
      </c>
      <c r="BA68">
        <v>60.631578947367458</v>
      </c>
      <c r="BB68">
        <v>36.631578947367792</v>
      </c>
      <c r="BC68">
        <v>13.45263157894729</v>
      </c>
      <c r="BD68">
        <v>13.433684210526231</v>
      </c>
      <c r="BE68">
        <v>8.8926315789473538</v>
      </c>
      <c r="BF68">
        <v>0.85263157894741093</v>
      </c>
    </row>
    <row r="69" spans="1:58" x14ac:dyDescent="0.2">
      <c r="A69">
        <v>322</v>
      </c>
      <c r="B69">
        <v>45</v>
      </c>
      <c r="C69">
        <v>291.66666666666669</v>
      </c>
      <c r="D69">
        <v>250</v>
      </c>
      <c r="E69">
        <v>291.66666666666669</v>
      </c>
      <c r="F69">
        <f t="shared" si="12"/>
        <v>541.66666666666674</v>
      </c>
      <c r="G69">
        <f t="shared" si="12"/>
        <v>541.66666666666674</v>
      </c>
      <c r="H69">
        <v>1000</v>
      </c>
      <c r="I69">
        <v>0.19444444444444439</v>
      </c>
      <c r="J69">
        <v>0.27777777777777779</v>
      </c>
      <c r="K69">
        <v>0.19444444444444439</v>
      </c>
      <c r="L69">
        <f t="shared" si="13"/>
        <v>0.47222222222222221</v>
      </c>
      <c r="M69">
        <f t="shared" si="14"/>
        <v>0.47222222222222221</v>
      </c>
      <c r="N69">
        <v>0.66666666666666663</v>
      </c>
      <c r="O69">
        <f t="shared" si="15"/>
        <v>0.14444444444444438</v>
      </c>
      <c r="P69">
        <f t="shared" si="16"/>
        <v>7.2222222222222188E-2</v>
      </c>
      <c r="Q69">
        <f t="shared" si="17"/>
        <v>9.4444444444444386E-2</v>
      </c>
      <c r="R69">
        <f t="shared" si="17"/>
        <v>0</v>
      </c>
      <c r="S69">
        <f t="shared" si="18"/>
        <v>0</v>
      </c>
      <c r="T69">
        <f t="shared" si="19"/>
        <v>0.16666666666666663</v>
      </c>
      <c r="U69">
        <f t="shared" si="20"/>
        <v>0.22054925823643556</v>
      </c>
      <c r="V69">
        <f t="shared" si="21"/>
        <v>0.18708286933869697</v>
      </c>
      <c r="W69">
        <f t="shared" si="22"/>
        <v>0.16666666666666663</v>
      </c>
      <c r="X69">
        <v>0</v>
      </c>
      <c r="Y69">
        <v>1.2</v>
      </c>
      <c r="Z69">
        <v>52.8</v>
      </c>
      <c r="AA69">
        <v>61.2</v>
      </c>
      <c r="AB69">
        <v>0</v>
      </c>
      <c r="AC69">
        <v>0</v>
      </c>
      <c r="AD69">
        <v>0</v>
      </c>
      <c r="AE69">
        <v>0</v>
      </c>
      <c r="AF69">
        <v>37.333333333332973</v>
      </c>
      <c r="AG69">
        <v>80</v>
      </c>
      <c r="AH69">
        <v>117.333333333333</v>
      </c>
      <c r="AI69">
        <v>19.155555555555551</v>
      </c>
      <c r="AJ69">
        <v>17.43279012345678</v>
      </c>
      <c r="AK69">
        <v>9.9097283950617481</v>
      </c>
      <c r="AL69">
        <v>11.400000000000031</v>
      </c>
      <c r="AM69">
        <v>57.898074074074103</v>
      </c>
      <c r="AN69">
        <v>180</v>
      </c>
      <c r="AO69">
        <v>0</v>
      </c>
      <c r="AP69">
        <v>8.1066666666666514</v>
      </c>
      <c r="AQ69">
        <v>8.2933333333334307</v>
      </c>
      <c r="AR69">
        <v>14.93333333333317</v>
      </c>
      <c r="AS69">
        <v>24.533333333333012</v>
      </c>
      <c r="AT69">
        <v>14.15999999999994</v>
      </c>
      <c r="AU69">
        <v>4.6400000000000654</v>
      </c>
      <c r="AV69">
        <v>0</v>
      </c>
      <c r="AW69">
        <v>31.333333333333261</v>
      </c>
      <c r="AX69">
        <v>43.333333333333023</v>
      </c>
      <c r="AY69">
        <v>37.333333333333137</v>
      </c>
      <c r="AZ69">
        <v>31.333333333333091</v>
      </c>
      <c r="BA69">
        <v>43.333333333333023</v>
      </c>
      <c r="BB69">
        <v>37.333333333333051</v>
      </c>
      <c r="BC69">
        <v>12.266666666666509</v>
      </c>
      <c r="BD69">
        <v>11.13333333333329</v>
      </c>
      <c r="BE69">
        <v>6.4666666666667476</v>
      </c>
      <c r="BF69">
        <v>7.466666666666586</v>
      </c>
    </row>
    <row r="70" spans="1:58" x14ac:dyDescent="0.2">
      <c r="A70">
        <v>322</v>
      </c>
      <c r="B70">
        <v>42.5</v>
      </c>
      <c r="C70">
        <v>291.66666666666669</v>
      </c>
      <c r="D70">
        <v>250</v>
      </c>
      <c r="E70">
        <v>291.66666666666669</v>
      </c>
      <c r="F70">
        <f t="shared" si="12"/>
        <v>541.66666666666674</v>
      </c>
      <c r="G70">
        <f t="shared" si="12"/>
        <v>541.66666666666674</v>
      </c>
      <c r="H70">
        <v>1000</v>
      </c>
      <c r="I70">
        <v>0.20588235294117649</v>
      </c>
      <c r="J70">
        <v>0.29411764705882348</v>
      </c>
      <c r="K70">
        <v>0.20588235294117649</v>
      </c>
      <c r="L70">
        <f t="shared" si="13"/>
        <v>0.5</v>
      </c>
      <c r="M70">
        <f t="shared" si="14"/>
        <v>0.5</v>
      </c>
      <c r="N70">
        <v>0.70588235294117641</v>
      </c>
      <c r="O70">
        <f t="shared" si="15"/>
        <v>0.15588235294117647</v>
      </c>
      <c r="P70">
        <f t="shared" si="16"/>
        <v>5.5882352941176494E-2</v>
      </c>
      <c r="Q70">
        <f t="shared" si="17"/>
        <v>0.10588235294117648</v>
      </c>
      <c r="R70">
        <f t="shared" si="17"/>
        <v>0</v>
      </c>
      <c r="S70">
        <f t="shared" si="18"/>
        <v>0</v>
      </c>
      <c r="T70">
        <f t="shared" si="19"/>
        <v>0.20588235294117641</v>
      </c>
      <c r="U70">
        <f t="shared" si="20"/>
        <v>0.25823797399118636</v>
      </c>
      <c r="V70">
        <f t="shared" si="21"/>
        <v>0.19655334643063085</v>
      </c>
      <c r="W70">
        <f t="shared" si="22"/>
        <v>0.20588235294117641</v>
      </c>
      <c r="X70">
        <v>0</v>
      </c>
      <c r="Y70">
        <v>97.2</v>
      </c>
      <c r="Z70">
        <v>12</v>
      </c>
      <c r="AA70">
        <v>13.2</v>
      </c>
      <c r="AB70">
        <v>0</v>
      </c>
      <c r="AC70">
        <v>0</v>
      </c>
      <c r="AD70">
        <v>0</v>
      </c>
      <c r="AE70">
        <v>0</v>
      </c>
      <c r="AF70">
        <v>37.200000000000003</v>
      </c>
      <c r="AG70">
        <v>84.705882352941174</v>
      </c>
      <c r="AH70">
        <v>121.90588235294121</v>
      </c>
      <c r="AI70">
        <v>1.2705882352941129</v>
      </c>
      <c r="AJ70">
        <v>43.035294117647091</v>
      </c>
      <c r="AK70">
        <v>0.95294117647059129</v>
      </c>
      <c r="AL70">
        <v>16.741176470588229</v>
      </c>
      <c r="AM70">
        <v>62.000000000000021</v>
      </c>
      <c r="AN70">
        <v>180</v>
      </c>
      <c r="AO70">
        <v>0</v>
      </c>
      <c r="AP70">
        <v>28.404705882352982</v>
      </c>
      <c r="AQ70">
        <v>0</v>
      </c>
      <c r="AR70">
        <v>20.089411764705918</v>
      </c>
      <c r="AS70">
        <v>1.5247058823529289</v>
      </c>
      <c r="AT70">
        <v>23.237647058823661</v>
      </c>
      <c r="AU70">
        <v>1.143529411764757</v>
      </c>
      <c r="AV70">
        <v>0</v>
      </c>
      <c r="AW70">
        <v>48.4941176470589</v>
      </c>
      <c r="AX70">
        <v>25.90588235294134</v>
      </c>
      <c r="AY70">
        <v>37.200000000000117</v>
      </c>
      <c r="AZ70">
        <v>48.494117647058808</v>
      </c>
      <c r="BA70">
        <v>25.905882352941191</v>
      </c>
      <c r="BB70">
        <v>37.200000000000003</v>
      </c>
      <c r="BC70">
        <v>0.76235294117646446</v>
      </c>
      <c r="BD70">
        <v>25.82117647058832</v>
      </c>
      <c r="BE70">
        <v>0.5717647058823786</v>
      </c>
      <c r="BF70">
        <v>10.044705882352959</v>
      </c>
    </row>
    <row r="71" spans="1:58" x14ac:dyDescent="0.2">
      <c r="A71">
        <v>322</v>
      </c>
      <c r="B71">
        <v>40</v>
      </c>
      <c r="C71">
        <v>291.66666666666669</v>
      </c>
      <c r="D71">
        <v>250</v>
      </c>
      <c r="E71">
        <v>291.66666666666669</v>
      </c>
      <c r="F71">
        <f t="shared" si="12"/>
        <v>541.66666666666674</v>
      </c>
      <c r="G71">
        <f t="shared" si="12"/>
        <v>541.66666666666674</v>
      </c>
      <c r="H71">
        <v>1000</v>
      </c>
      <c r="I71">
        <v>0.21875</v>
      </c>
      <c r="J71">
        <v>0.31250000000000011</v>
      </c>
      <c r="K71">
        <v>0.21875</v>
      </c>
      <c r="L71">
        <f t="shared" si="13"/>
        <v>0.53125000000000011</v>
      </c>
      <c r="M71">
        <f t="shared" si="14"/>
        <v>0.53125000000000011</v>
      </c>
      <c r="N71">
        <v>0.75000000000000011</v>
      </c>
      <c r="O71">
        <f t="shared" si="15"/>
        <v>0.16875000000000001</v>
      </c>
      <c r="P71">
        <f t="shared" si="16"/>
        <v>3.7499999999999867E-2</v>
      </c>
      <c r="Q71">
        <f t="shared" si="17"/>
        <v>0.11874999999999999</v>
      </c>
      <c r="R71">
        <f t="shared" si="17"/>
        <v>0</v>
      </c>
      <c r="S71">
        <f t="shared" si="18"/>
        <v>0</v>
      </c>
      <c r="T71">
        <f t="shared" si="19"/>
        <v>0.24999999999999989</v>
      </c>
      <c r="U71">
        <f t="shared" si="20"/>
        <v>0.30162321280034127</v>
      </c>
      <c r="V71">
        <f t="shared" si="21"/>
        <v>0.20972452169453146</v>
      </c>
      <c r="W71">
        <f t="shared" si="22"/>
        <v>0.24999999999999989</v>
      </c>
      <c r="X71">
        <v>0</v>
      </c>
      <c r="Y71">
        <v>4.8</v>
      </c>
      <c r="Z71">
        <v>55.2</v>
      </c>
      <c r="AA71">
        <v>76.8</v>
      </c>
      <c r="AB71">
        <v>0</v>
      </c>
      <c r="AC71">
        <v>0</v>
      </c>
      <c r="AD71">
        <v>0</v>
      </c>
      <c r="AE71">
        <v>0</v>
      </c>
      <c r="AF71">
        <v>38.999999999999588</v>
      </c>
      <c r="AG71">
        <v>90</v>
      </c>
      <c r="AH71">
        <v>128.9999999999996</v>
      </c>
      <c r="AI71">
        <v>24.525000000000041</v>
      </c>
      <c r="AJ71">
        <v>20.186625000000021</v>
      </c>
      <c r="AK71">
        <v>14.12362500000002</v>
      </c>
      <c r="AL71">
        <v>3.7250000000000032</v>
      </c>
      <c r="AM71">
        <v>62.560250000000089</v>
      </c>
      <c r="AN71">
        <v>180</v>
      </c>
      <c r="AO71">
        <v>0</v>
      </c>
      <c r="AP71">
        <v>7.5600000000000156</v>
      </c>
      <c r="AQ71">
        <v>2.789999999999984</v>
      </c>
      <c r="AR71">
        <v>4.6499999999999204</v>
      </c>
      <c r="AS71">
        <v>31.049999999999439</v>
      </c>
      <c r="AT71">
        <v>17.640000000000061</v>
      </c>
      <c r="AU71">
        <v>14.30999999999985</v>
      </c>
      <c r="AV71">
        <v>0</v>
      </c>
      <c r="AW71">
        <v>14.99999999999992</v>
      </c>
      <c r="AX71">
        <v>62.999999999999353</v>
      </c>
      <c r="AY71">
        <v>38.999999999999638</v>
      </c>
      <c r="AZ71">
        <v>14.999999999999909</v>
      </c>
      <c r="BA71">
        <v>62.999999999999261</v>
      </c>
      <c r="BB71">
        <v>38.999999999999588</v>
      </c>
      <c r="BC71">
        <v>15.52499999999972</v>
      </c>
      <c r="BD71">
        <v>12.600000000000041</v>
      </c>
      <c r="BE71">
        <v>8.549999999999919</v>
      </c>
      <c r="BF71">
        <v>2.3249999999999602</v>
      </c>
    </row>
    <row r="72" spans="1:58" x14ac:dyDescent="0.2">
      <c r="A72">
        <v>322</v>
      </c>
      <c r="B72">
        <v>37.5</v>
      </c>
      <c r="C72">
        <v>291.66666666666669</v>
      </c>
      <c r="D72">
        <v>250</v>
      </c>
      <c r="E72">
        <v>291.66666666666669</v>
      </c>
      <c r="F72">
        <f t="shared" si="12"/>
        <v>541.66666666666674</v>
      </c>
      <c r="G72">
        <f t="shared" si="12"/>
        <v>541.66666666666674</v>
      </c>
      <c r="H72">
        <v>1000</v>
      </c>
      <c r="I72">
        <v>0.23333333333333331</v>
      </c>
      <c r="J72">
        <v>0.33333333333333343</v>
      </c>
      <c r="K72">
        <v>0.23333333333333331</v>
      </c>
      <c r="L72">
        <f t="shared" si="13"/>
        <v>0.56666666666666676</v>
      </c>
      <c r="M72">
        <f t="shared" si="14"/>
        <v>0.56666666666666676</v>
      </c>
      <c r="N72">
        <v>0.8</v>
      </c>
      <c r="O72">
        <f t="shared" si="15"/>
        <v>0.18333333333333329</v>
      </c>
      <c r="P72">
        <f t="shared" si="16"/>
        <v>1.6666666666666552E-2</v>
      </c>
      <c r="Q72">
        <f t="shared" si="17"/>
        <v>0.1333333333333333</v>
      </c>
      <c r="R72">
        <f t="shared" si="17"/>
        <v>0</v>
      </c>
      <c r="S72">
        <f t="shared" si="18"/>
        <v>1.6666666666666718E-2</v>
      </c>
      <c r="T72">
        <f t="shared" si="19"/>
        <v>0.19999999999999996</v>
      </c>
      <c r="U72">
        <f t="shared" si="20"/>
        <v>0.27131367660166172</v>
      </c>
      <c r="V72">
        <f t="shared" si="21"/>
        <v>0.22730302828309754</v>
      </c>
      <c r="W72">
        <f t="shared" si="22"/>
        <v>0.20069324297987154</v>
      </c>
      <c r="X72">
        <v>0</v>
      </c>
      <c r="Y72">
        <v>8.4</v>
      </c>
      <c r="Z72">
        <v>61.2</v>
      </c>
      <c r="AA72">
        <v>58.8</v>
      </c>
      <c r="AB72">
        <v>0</v>
      </c>
      <c r="AC72">
        <v>0</v>
      </c>
      <c r="AD72">
        <v>0</v>
      </c>
      <c r="AE72">
        <v>0</v>
      </c>
      <c r="AF72">
        <v>39.999999999999503</v>
      </c>
      <c r="AG72">
        <v>96.000000000000014</v>
      </c>
      <c r="AH72">
        <v>135.99999999999949</v>
      </c>
      <c r="AI72">
        <v>30.066666666666691</v>
      </c>
      <c r="AJ72">
        <v>8.0071111111111257</v>
      </c>
      <c r="AK72">
        <v>2.6168888888888948</v>
      </c>
      <c r="AL72">
        <v>25.199999999999989</v>
      </c>
      <c r="AM72">
        <v>65.890666666666704</v>
      </c>
      <c r="AN72">
        <v>180</v>
      </c>
      <c r="AO72">
        <v>0</v>
      </c>
      <c r="AP72">
        <v>6.0800000000000489</v>
      </c>
      <c r="AQ72">
        <v>2.3200000000000318</v>
      </c>
      <c r="AR72">
        <v>30.39999999999992</v>
      </c>
      <c r="AS72">
        <v>36.399999999999189</v>
      </c>
      <c r="AT72">
        <v>3.8400000000000651</v>
      </c>
      <c r="AU72">
        <v>0.95999999999993535</v>
      </c>
      <c r="AV72">
        <v>0</v>
      </c>
      <c r="AW72">
        <v>38.799999999999997</v>
      </c>
      <c r="AX72">
        <v>41.199999999999193</v>
      </c>
      <c r="AY72">
        <v>39.999999999999588</v>
      </c>
      <c r="AZ72">
        <v>38.799999999999827</v>
      </c>
      <c r="BA72">
        <v>41.199999999999179</v>
      </c>
      <c r="BB72">
        <v>39.999999999999503</v>
      </c>
      <c r="BC72">
        <v>18.199999999999591</v>
      </c>
      <c r="BD72">
        <v>4.9600000000000568</v>
      </c>
      <c r="BE72">
        <v>1.6399999999999839</v>
      </c>
      <c r="BF72">
        <v>15.19999999999996</v>
      </c>
    </row>
    <row r="73" spans="1:58" x14ac:dyDescent="0.2">
      <c r="A73">
        <v>322</v>
      </c>
      <c r="B73">
        <v>35</v>
      </c>
      <c r="C73">
        <v>291.66666666666669</v>
      </c>
      <c r="D73">
        <v>250</v>
      </c>
      <c r="E73">
        <v>291.66666666666669</v>
      </c>
      <c r="F73">
        <f t="shared" si="12"/>
        <v>541.66666666666674</v>
      </c>
      <c r="G73">
        <f t="shared" si="12"/>
        <v>541.66666666666674</v>
      </c>
      <c r="H73">
        <v>1000</v>
      </c>
      <c r="I73">
        <v>0.25</v>
      </c>
      <c r="J73">
        <v>0.35714285714285721</v>
      </c>
      <c r="K73">
        <v>0.25</v>
      </c>
      <c r="L73">
        <f t="shared" si="13"/>
        <v>0.60714285714285721</v>
      </c>
      <c r="M73">
        <f t="shared" si="14"/>
        <v>0.60714285714285721</v>
      </c>
      <c r="N73">
        <v>0.85714285714285721</v>
      </c>
      <c r="O73">
        <f t="shared" si="15"/>
        <v>0.2</v>
      </c>
      <c r="P73">
        <f t="shared" si="16"/>
        <v>0</v>
      </c>
      <c r="Q73">
        <f t="shared" si="17"/>
        <v>0.15</v>
      </c>
      <c r="R73">
        <f t="shared" si="17"/>
        <v>7.1428571428572285E-3</v>
      </c>
      <c r="S73">
        <f t="shared" si="18"/>
        <v>5.7142857142857162E-2</v>
      </c>
      <c r="T73">
        <f t="shared" si="19"/>
        <v>0.14285714285714279</v>
      </c>
      <c r="U73">
        <f t="shared" si="20"/>
        <v>0.2457807219155036</v>
      </c>
      <c r="V73">
        <f t="shared" si="21"/>
        <v>0.25</v>
      </c>
      <c r="W73">
        <f t="shared" si="22"/>
        <v>0.15402756180605584</v>
      </c>
      <c r="X73">
        <v>0</v>
      </c>
      <c r="Y73">
        <v>2.4</v>
      </c>
      <c r="Z73">
        <v>61.2</v>
      </c>
      <c r="AA73">
        <v>88.8</v>
      </c>
      <c r="AB73">
        <v>0</v>
      </c>
      <c r="AC73">
        <v>0</v>
      </c>
      <c r="AD73">
        <v>0</v>
      </c>
      <c r="AE73">
        <v>0</v>
      </c>
      <c r="AF73">
        <v>41.142857142856698</v>
      </c>
      <c r="AG73">
        <v>102.8571428571429</v>
      </c>
      <c r="AH73">
        <v>143.99999999999949</v>
      </c>
      <c r="AI73">
        <v>24.485714285714309</v>
      </c>
      <c r="AJ73">
        <v>18.96</v>
      </c>
      <c r="AK73">
        <v>22.19942857142858</v>
      </c>
      <c r="AL73">
        <v>1.600000000000003</v>
      </c>
      <c r="AM73">
        <v>67.245142857142881</v>
      </c>
      <c r="AN73">
        <v>180</v>
      </c>
      <c r="AO73">
        <v>0</v>
      </c>
      <c r="AP73">
        <v>12.48000000000005</v>
      </c>
      <c r="AQ73">
        <v>7.0628571428571982</v>
      </c>
      <c r="AR73">
        <v>2.3999999999998378</v>
      </c>
      <c r="AS73">
        <v>29.910857142856472</v>
      </c>
      <c r="AT73">
        <v>10.271999999999951</v>
      </c>
      <c r="AU73">
        <v>20.15999999999994</v>
      </c>
      <c r="AV73">
        <v>0</v>
      </c>
      <c r="AW73">
        <v>21.94285714285709</v>
      </c>
      <c r="AX73">
        <v>60.34285714285636</v>
      </c>
      <c r="AY73">
        <v>41.142857142856727</v>
      </c>
      <c r="AZ73">
        <v>21.94285714285698</v>
      </c>
      <c r="BA73">
        <v>60.342857142856417</v>
      </c>
      <c r="BB73">
        <v>41.142857142856698</v>
      </c>
      <c r="BC73">
        <v>14.95542857142823</v>
      </c>
      <c r="BD73">
        <v>11.375999999999999</v>
      </c>
      <c r="BE73">
        <v>13.61142857142857</v>
      </c>
      <c r="BF73">
        <v>1.1999999999999189</v>
      </c>
    </row>
    <row r="74" spans="1:58" x14ac:dyDescent="0.2">
      <c r="A74">
        <v>322</v>
      </c>
      <c r="B74">
        <v>32.5</v>
      </c>
      <c r="C74">
        <v>291.66666666666669</v>
      </c>
      <c r="D74">
        <v>250</v>
      </c>
      <c r="E74">
        <v>291.66666666666669</v>
      </c>
      <c r="F74">
        <f t="shared" si="12"/>
        <v>541.66666666666674</v>
      </c>
      <c r="G74">
        <f t="shared" si="12"/>
        <v>541.66666666666674</v>
      </c>
      <c r="H74">
        <v>1000</v>
      </c>
      <c r="I74">
        <v>0.26923076923076927</v>
      </c>
      <c r="J74">
        <v>0.38461538461538458</v>
      </c>
      <c r="K74">
        <v>0.26923076923076927</v>
      </c>
      <c r="L74">
        <f t="shared" si="13"/>
        <v>0.65384615384615385</v>
      </c>
      <c r="M74">
        <f t="shared" si="14"/>
        <v>0.65384615384615385</v>
      </c>
      <c r="N74">
        <v>0.92307692307692324</v>
      </c>
      <c r="O74">
        <f t="shared" si="15"/>
        <v>0.18076923076923074</v>
      </c>
      <c r="P74">
        <f t="shared" si="16"/>
        <v>0</v>
      </c>
      <c r="Q74">
        <f t="shared" si="17"/>
        <v>0.13076923076923075</v>
      </c>
      <c r="R74">
        <f t="shared" si="17"/>
        <v>5.3846153846153877E-2</v>
      </c>
      <c r="S74">
        <f t="shared" si="18"/>
        <v>0.10384615384615381</v>
      </c>
      <c r="T74">
        <f t="shared" si="19"/>
        <v>7.6923076923076761E-2</v>
      </c>
      <c r="U74">
        <f t="shared" si="20"/>
        <v>0.19645527367880197</v>
      </c>
      <c r="V74">
        <f t="shared" si="21"/>
        <v>0.22311007711189498</v>
      </c>
      <c r="W74">
        <f t="shared" si="22"/>
        <v>0.14000211325539447</v>
      </c>
      <c r="X74">
        <v>0</v>
      </c>
      <c r="Y74">
        <v>106.8</v>
      </c>
      <c r="Z74">
        <v>36</v>
      </c>
      <c r="AA74">
        <v>30</v>
      </c>
      <c r="AB74">
        <v>0</v>
      </c>
      <c r="AC74">
        <v>0</v>
      </c>
      <c r="AD74">
        <v>0</v>
      </c>
      <c r="AE74">
        <v>0</v>
      </c>
      <c r="AF74">
        <v>42.461538461537813</v>
      </c>
      <c r="AG74">
        <v>110.7692307692308</v>
      </c>
      <c r="AH74">
        <v>153.2307692307686</v>
      </c>
      <c r="AI74">
        <v>15.81538461538462</v>
      </c>
      <c r="AJ74">
        <v>23.542603550295851</v>
      </c>
      <c r="AK74">
        <v>2.571479289940835</v>
      </c>
      <c r="AL74">
        <v>27.75902958579881</v>
      </c>
      <c r="AM74">
        <v>69.688497041420121</v>
      </c>
      <c r="AN74">
        <v>180</v>
      </c>
      <c r="AO74">
        <v>0</v>
      </c>
      <c r="AP74">
        <v>26.80615384615384</v>
      </c>
      <c r="AQ74">
        <v>1.7011597633136259</v>
      </c>
      <c r="AR74">
        <v>34.354224852070587</v>
      </c>
      <c r="AS74">
        <v>19.107692307691469</v>
      </c>
      <c r="AT74">
        <v>1.5692307692307319</v>
      </c>
      <c r="AU74">
        <v>1.3846153846152851</v>
      </c>
      <c r="AV74">
        <v>0</v>
      </c>
      <c r="AW74">
        <v>62.861538461538053</v>
      </c>
      <c r="AX74">
        <v>22.061538461537491</v>
      </c>
      <c r="AY74">
        <v>42.461538461537771</v>
      </c>
      <c r="AZ74">
        <v>62.861538461537982</v>
      </c>
      <c r="BA74">
        <v>22.061538461537651</v>
      </c>
      <c r="BB74">
        <v>42.461538461537813</v>
      </c>
      <c r="BC74">
        <v>9.5538461538457344</v>
      </c>
      <c r="BD74">
        <v>14.187692307692281</v>
      </c>
      <c r="BE74">
        <v>1.5428875739644561</v>
      </c>
      <c r="BF74">
        <v>17.17711242603529</v>
      </c>
    </row>
    <row r="75" spans="1:58" x14ac:dyDescent="0.2">
      <c r="A75">
        <v>322</v>
      </c>
      <c r="B75">
        <v>30</v>
      </c>
      <c r="C75">
        <v>291.66666666666669</v>
      </c>
      <c r="D75">
        <v>250</v>
      </c>
      <c r="E75">
        <v>291.66666666666669</v>
      </c>
      <c r="F75">
        <f t="shared" si="12"/>
        <v>541.66666666666674</v>
      </c>
      <c r="G75">
        <f t="shared" si="12"/>
        <v>541.66666666666674</v>
      </c>
      <c r="H75">
        <v>1000</v>
      </c>
      <c r="I75">
        <v>0.29166666666666669</v>
      </c>
      <c r="J75">
        <v>0.41666666666666669</v>
      </c>
      <c r="K75">
        <v>0.29166666666666669</v>
      </c>
      <c r="L75">
        <f t="shared" si="13"/>
        <v>0.70833333333333337</v>
      </c>
      <c r="M75">
        <f t="shared" si="14"/>
        <v>0.70833333333333337</v>
      </c>
      <c r="N75">
        <v>1</v>
      </c>
      <c r="O75">
        <f t="shared" si="15"/>
        <v>0.15833333333333333</v>
      </c>
      <c r="P75">
        <f t="shared" si="16"/>
        <v>0</v>
      </c>
      <c r="Q75">
        <f t="shared" si="17"/>
        <v>0.10833333333333334</v>
      </c>
      <c r="R75">
        <f t="shared" si="17"/>
        <v>0.10833333333333339</v>
      </c>
      <c r="S75">
        <f t="shared" si="18"/>
        <v>0.15833333333333333</v>
      </c>
      <c r="T75">
        <f t="shared" si="19"/>
        <v>0</v>
      </c>
      <c r="U75">
        <f t="shared" si="20"/>
        <v>0.15833333333333333</v>
      </c>
      <c r="V75">
        <f t="shared" si="21"/>
        <v>0.19184774055368897</v>
      </c>
      <c r="W75">
        <f t="shared" si="22"/>
        <v>0.191847740553689</v>
      </c>
      <c r="X75">
        <v>0</v>
      </c>
      <c r="Y75">
        <v>27.6</v>
      </c>
      <c r="Z75">
        <v>85.2</v>
      </c>
      <c r="AA75">
        <v>76.8</v>
      </c>
      <c r="AB75">
        <v>0</v>
      </c>
      <c r="AC75">
        <v>0</v>
      </c>
      <c r="AD75">
        <v>0</v>
      </c>
      <c r="AE75">
        <v>0</v>
      </c>
      <c r="AF75">
        <v>45.999999999999723</v>
      </c>
      <c r="AG75">
        <v>120</v>
      </c>
      <c r="AH75">
        <v>165.99999999999969</v>
      </c>
      <c r="AI75">
        <v>38.170999999999999</v>
      </c>
      <c r="AJ75">
        <v>0.44777777777777428</v>
      </c>
      <c r="AK75">
        <v>1.466666666666657</v>
      </c>
      <c r="AL75">
        <v>36.166666666666657</v>
      </c>
      <c r="AM75">
        <v>76.252111111111091</v>
      </c>
      <c r="AN75">
        <v>180</v>
      </c>
      <c r="AO75">
        <v>0</v>
      </c>
      <c r="AP75">
        <v>0</v>
      </c>
      <c r="AQ75">
        <v>0.2</v>
      </c>
      <c r="AR75">
        <v>43.39999999999992</v>
      </c>
      <c r="AS75">
        <v>46.302666666666241</v>
      </c>
      <c r="AT75">
        <v>0.53733333333333977</v>
      </c>
      <c r="AU75">
        <v>1.559999999999935</v>
      </c>
      <c r="AV75">
        <v>0</v>
      </c>
      <c r="AW75">
        <v>43.599999999999923</v>
      </c>
      <c r="AX75">
        <v>48.399999999999523</v>
      </c>
      <c r="AY75">
        <v>45.999999999999723</v>
      </c>
      <c r="AZ75">
        <v>43.599999999999909</v>
      </c>
      <c r="BA75">
        <v>48.399999999999523</v>
      </c>
      <c r="BB75">
        <v>45.999999999999723</v>
      </c>
      <c r="BC75">
        <v>23.15133333333312</v>
      </c>
      <c r="BD75">
        <v>0.26866666666666988</v>
      </c>
      <c r="BE75">
        <v>0.87999999999996759</v>
      </c>
      <c r="BF75">
        <v>21.69999999999996</v>
      </c>
    </row>
    <row r="76" spans="1:58" x14ac:dyDescent="0.2">
      <c r="A76">
        <v>322</v>
      </c>
      <c r="B76">
        <v>27.5</v>
      </c>
      <c r="C76">
        <v>291.66666666666669</v>
      </c>
      <c r="D76">
        <v>250</v>
      </c>
      <c r="E76">
        <v>291.66666666666669</v>
      </c>
      <c r="F76">
        <f t="shared" si="12"/>
        <v>541.66666666666674</v>
      </c>
      <c r="G76">
        <f t="shared" si="12"/>
        <v>541.66666666666674</v>
      </c>
      <c r="H76">
        <v>1000</v>
      </c>
      <c r="I76">
        <v>0.31818181818181818</v>
      </c>
      <c r="J76">
        <v>0.45454545454545459</v>
      </c>
      <c r="K76">
        <v>0.31818181818181818</v>
      </c>
      <c r="L76">
        <f t="shared" si="13"/>
        <v>0.77272727272727271</v>
      </c>
      <c r="M76">
        <f t="shared" si="14"/>
        <v>0.77272727272727271</v>
      </c>
      <c r="N76">
        <v>1.0909090909090911</v>
      </c>
      <c r="O76">
        <f t="shared" si="15"/>
        <v>0.13181818181818183</v>
      </c>
      <c r="P76">
        <f t="shared" si="16"/>
        <v>0</v>
      </c>
      <c r="Q76">
        <f t="shared" si="17"/>
        <v>8.1818181818181845E-2</v>
      </c>
      <c r="R76">
        <f t="shared" si="17"/>
        <v>0.12727272727272732</v>
      </c>
      <c r="S76">
        <f t="shared" si="18"/>
        <v>0.17727272727272725</v>
      </c>
      <c r="T76">
        <f t="shared" si="19"/>
        <v>9.090909090909105E-2</v>
      </c>
      <c r="U76">
        <f t="shared" si="20"/>
        <v>0.16012649958007771</v>
      </c>
      <c r="V76">
        <f t="shared" si="21"/>
        <v>0.15514589241705468</v>
      </c>
      <c r="W76">
        <f t="shared" si="22"/>
        <v>0.23640733861719723</v>
      </c>
      <c r="X76">
        <v>0</v>
      </c>
      <c r="Y76">
        <v>55.2</v>
      </c>
      <c r="Z76">
        <v>109.2</v>
      </c>
      <c r="AA76">
        <v>26.4</v>
      </c>
      <c r="AB76">
        <v>0</v>
      </c>
      <c r="AC76">
        <v>0</v>
      </c>
      <c r="AD76">
        <v>0</v>
      </c>
      <c r="AE76">
        <v>0</v>
      </c>
      <c r="AF76">
        <v>42.545454545454049</v>
      </c>
      <c r="AG76">
        <v>130.90909090909091</v>
      </c>
      <c r="AH76">
        <v>173.45454545454501</v>
      </c>
      <c r="AI76">
        <v>20.50856198347104</v>
      </c>
      <c r="AJ76">
        <v>23.109090909090899</v>
      </c>
      <c r="AK76">
        <v>25.690909090909081</v>
      </c>
      <c r="AL76">
        <v>1.272727272727314</v>
      </c>
      <c r="AM76">
        <v>70.581289256198332</v>
      </c>
      <c r="AN76">
        <v>180</v>
      </c>
      <c r="AO76">
        <v>0</v>
      </c>
      <c r="AP76">
        <v>17.01818181818178</v>
      </c>
      <c r="AQ76">
        <v>0</v>
      </c>
      <c r="AR76">
        <v>1.5272727272727129</v>
      </c>
      <c r="AS76">
        <v>25.003636363635771</v>
      </c>
      <c r="AT76">
        <v>10.712727272727189</v>
      </c>
      <c r="AU76">
        <v>30.82909090909088</v>
      </c>
      <c r="AV76">
        <v>0</v>
      </c>
      <c r="AW76">
        <v>18.54545454545449</v>
      </c>
      <c r="AX76">
        <v>66.54545454545385</v>
      </c>
      <c r="AY76">
        <v>42.54545454545417</v>
      </c>
      <c r="AZ76">
        <v>18.545454545454501</v>
      </c>
      <c r="BA76">
        <v>66.545454545453595</v>
      </c>
      <c r="BB76">
        <v>42.545454545454049</v>
      </c>
      <c r="BC76">
        <v>12.501818181817891</v>
      </c>
      <c r="BD76">
        <v>13.86545454545449</v>
      </c>
      <c r="BE76">
        <v>15.41454545454544</v>
      </c>
      <c r="BF76">
        <v>0.76363636363635634</v>
      </c>
    </row>
    <row r="77" spans="1:58" x14ac:dyDescent="0.2">
      <c r="A77">
        <v>322</v>
      </c>
      <c r="B77">
        <v>25</v>
      </c>
      <c r="C77">
        <v>291.66666666666669</v>
      </c>
      <c r="D77">
        <v>250</v>
      </c>
      <c r="E77">
        <v>291.66666666666669</v>
      </c>
      <c r="F77">
        <f t="shared" si="12"/>
        <v>541.66666666666674</v>
      </c>
      <c r="G77">
        <f t="shared" si="12"/>
        <v>541.66666666666674</v>
      </c>
      <c r="H77">
        <v>1000</v>
      </c>
      <c r="I77">
        <v>0.35</v>
      </c>
      <c r="J77">
        <v>0.5</v>
      </c>
      <c r="K77">
        <v>0.35</v>
      </c>
      <c r="L77">
        <f t="shared" si="13"/>
        <v>0.85</v>
      </c>
      <c r="M77">
        <f t="shared" si="14"/>
        <v>0.85</v>
      </c>
      <c r="N77">
        <v>1.2</v>
      </c>
      <c r="O77">
        <f t="shared" si="15"/>
        <v>0.10000000000000003</v>
      </c>
      <c r="P77">
        <f t="shared" si="16"/>
        <v>0</v>
      </c>
      <c r="Q77">
        <f t="shared" si="17"/>
        <v>5.0000000000000044E-2</v>
      </c>
      <c r="R77">
        <f t="shared" si="17"/>
        <v>5.0000000000000044E-2</v>
      </c>
      <c r="S77">
        <f t="shared" si="18"/>
        <v>9.9999999999999978E-2</v>
      </c>
      <c r="T77">
        <f t="shared" si="19"/>
        <v>0.19999999999999996</v>
      </c>
      <c r="U77">
        <f t="shared" si="20"/>
        <v>0.22360679774997894</v>
      </c>
      <c r="V77">
        <f t="shared" si="21"/>
        <v>0.11180339887498954</v>
      </c>
      <c r="W77">
        <f t="shared" si="22"/>
        <v>0.22912878474779194</v>
      </c>
      <c r="X77">
        <v>0</v>
      </c>
      <c r="Y77">
        <v>78</v>
      </c>
      <c r="Z77">
        <v>1.2</v>
      </c>
      <c r="AA77">
        <v>64.8</v>
      </c>
      <c r="AB77">
        <v>0</v>
      </c>
      <c r="AC77">
        <v>0</v>
      </c>
      <c r="AD77">
        <v>0</v>
      </c>
      <c r="AE77">
        <v>0</v>
      </c>
      <c r="AF77">
        <v>35.999999999999801</v>
      </c>
      <c r="AG77">
        <v>144</v>
      </c>
      <c r="AH77">
        <v>179.9999999999998</v>
      </c>
      <c r="AI77">
        <v>0</v>
      </c>
      <c r="AJ77">
        <v>43.999999999999993</v>
      </c>
      <c r="AK77">
        <v>12</v>
      </c>
      <c r="AL77">
        <v>3.9999999999999898</v>
      </c>
      <c r="AM77">
        <v>59.999999999999979</v>
      </c>
      <c r="AN77">
        <v>180</v>
      </c>
      <c r="AO77">
        <v>0</v>
      </c>
      <c r="AP77">
        <v>36</v>
      </c>
      <c r="AQ77">
        <v>0</v>
      </c>
      <c r="AR77">
        <v>4.8</v>
      </c>
      <c r="AS77">
        <v>0</v>
      </c>
      <c r="AT77">
        <v>16.800000000000079</v>
      </c>
      <c r="AU77">
        <v>14.39999999999992</v>
      </c>
      <c r="AV77">
        <v>0</v>
      </c>
      <c r="AW77">
        <v>40.799999999999997</v>
      </c>
      <c r="AX77">
        <v>31.2</v>
      </c>
      <c r="AY77">
        <v>36</v>
      </c>
      <c r="AZ77">
        <v>40.800000000000011</v>
      </c>
      <c r="BA77">
        <v>31.199999999999591</v>
      </c>
      <c r="BB77">
        <v>35.999999999999801</v>
      </c>
      <c r="BC77">
        <v>0</v>
      </c>
      <c r="BD77">
        <v>26.400000000000041</v>
      </c>
      <c r="BE77">
        <v>7.1999999999999593</v>
      </c>
      <c r="BF77">
        <v>2.4</v>
      </c>
    </row>
    <row r="78" spans="1:58" x14ac:dyDescent="0.2">
      <c r="A78">
        <v>322</v>
      </c>
      <c r="B78">
        <v>22.5</v>
      </c>
      <c r="C78">
        <v>291.66666666666669</v>
      </c>
      <c r="D78">
        <v>250</v>
      </c>
      <c r="E78">
        <v>291.66666666666669</v>
      </c>
      <c r="F78">
        <f t="shared" si="12"/>
        <v>541.66666666666674</v>
      </c>
      <c r="G78">
        <f t="shared" si="12"/>
        <v>541.66666666666674</v>
      </c>
      <c r="H78">
        <v>1000</v>
      </c>
      <c r="I78">
        <v>0.3888888888888889</v>
      </c>
      <c r="J78">
        <v>0.55555555555555558</v>
      </c>
      <c r="K78">
        <v>0.3888888888888889</v>
      </c>
      <c r="L78">
        <f t="shared" si="13"/>
        <v>0.94444444444444442</v>
      </c>
      <c r="M78">
        <f t="shared" si="14"/>
        <v>0.94444444444444442</v>
      </c>
      <c r="N78">
        <v>1.333333333333333</v>
      </c>
      <c r="O78">
        <f t="shared" si="15"/>
        <v>6.1111111111111116E-2</v>
      </c>
      <c r="P78">
        <f t="shared" si="16"/>
        <v>0</v>
      </c>
      <c r="Q78">
        <f t="shared" si="17"/>
        <v>1.1111111111111127E-2</v>
      </c>
      <c r="R78">
        <f t="shared" si="17"/>
        <v>0</v>
      </c>
      <c r="S78">
        <f t="shared" si="18"/>
        <v>5.5555555555555358E-3</v>
      </c>
      <c r="T78">
        <f t="shared" si="19"/>
        <v>0.16666666666666696</v>
      </c>
      <c r="U78">
        <f t="shared" si="20"/>
        <v>0.17751717009633869</v>
      </c>
      <c r="V78">
        <f t="shared" si="21"/>
        <v>6.211299937499417E-2</v>
      </c>
      <c r="W78">
        <f t="shared" si="22"/>
        <v>0.16675923355337402</v>
      </c>
      <c r="X78">
        <v>0</v>
      </c>
      <c r="Y78">
        <v>34.799999999999997</v>
      </c>
      <c r="Z78">
        <v>90</v>
      </c>
      <c r="AA78">
        <v>40.799999999999997</v>
      </c>
      <c r="AB78">
        <v>0</v>
      </c>
      <c r="AC78">
        <v>0</v>
      </c>
      <c r="AD78">
        <v>0</v>
      </c>
      <c r="AE78">
        <v>0</v>
      </c>
      <c r="AF78">
        <v>20</v>
      </c>
      <c r="AG78">
        <v>160</v>
      </c>
      <c r="AH78">
        <v>180</v>
      </c>
      <c r="AI78">
        <v>30.555555555555561</v>
      </c>
      <c r="AJ78">
        <v>0</v>
      </c>
      <c r="AK78">
        <v>2.1111111111111089</v>
      </c>
      <c r="AL78">
        <v>0.66666666666665719</v>
      </c>
      <c r="AM78">
        <v>33.333333333333329</v>
      </c>
      <c r="AN78">
        <v>180</v>
      </c>
      <c r="AO78">
        <v>0</v>
      </c>
      <c r="AP78">
        <v>0</v>
      </c>
      <c r="AQ78">
        <v>0</v>
      </c>
      <c r="AR78">
        <v>0.8</v>
      </c>
      <c r="AS78">
        <v>36.666666666666657</v>
      </c>
      <c r="AT78">
        <v>0</v>
      </c>
      <c r="AU78">
        <v>2.5333333333333332</v>
      </c>
      <c r="AV78">
        <v>0</v>
      </c>
      <c r="AW78">
        <v>0.8</v>
      </c>
      <c r="AX78">
        <v>39.200000000000003</v>
      </c>
      <c r="AY78">
        <v>20</v>
      </c>
      <c r="AZ78">
        <v>0.80000000000001137</v>
      </c>
      <c r="BA78">
        <v>39.199999999999989</v>
      </c>
      <c r="BB78">
        <v>20</v>
      </c>
      <c r="BC78">
        <v>18.333333333333329</v>
      </c>
      <c r="BD78">
        <v>0</v>
      </c>
      <c r="BE78">
        <v>1.2666666666666671</v>
      </c>
      <c r="BF78">
        <v>0.4</v>
      </c>
    </row>
    <row r="79" spans="1:58" x14ac:dyDescent="0.2">
      <c r="A79">
        <v>322</v>
      </c>
      <c r="B79">
        <v>20</v>
      </c>
      <c r="C79">
        <v>291.66666666666669</v>
      </c>
      <c r="D79">
        <v>250</v>
      </c>
      <c r="E79">
        <v>291.66666666666669</v>
      </c>
      <c r="F79">
        <f t="shared" si="12"/>
        <v>541.66666666666674</v>
      </c>
      <c r="G79">
        <f t="shared" si="12"/>
        <v>541.66666666666674</v>
      </c>
      <c r="H79">
        <v>1000</v>
      </c>
      <c r="I79">
        <v>0.43750000000000011</v>
      </c>
      <c r="J79">
        <v>0.62500000000000011</v>
      </c>
      <c r="K79">
        <v>0.43750000000000011</v>
      </c>
      <c r="L79">
        <f t="shared" si="13"/>
        <v>1.0625000000000002</v>
      </c>
      <c r="M79">
        <f t="shared" si="14"/>
        <v>1.0625000000000002</v>
      </c>
      <c r="N79">
        <v>1.5</v>
      </c>
      <c r="O79">
        <f t="shared" si="15"/>
        <v>1.24999999999999E-2</v>
      </c>
      <c r="P79">
        <f t="shared" si="16"/>
        <v>0</v>
      </c>
      <c r="Q79">
        <f t="shared" si="17"/>
        <v>0</v>
      </c>
      <c r="R79">
        <f t="shared" si="17"/>
        <v>0</v>
      </c>
      <c r="S79">
        <f t="shared" si="18"/>
        <v>1.2500000000000219E-2</v>
      </c>
      <c r="T79">
        <f t="shared" si="19"/>
        <v>0</v>
      </c>
      <c r="U79">
        <f t="shared" si="20"/>
        <v>1.24999999999999E-2</v>
      </c>
      <c r="V79">
        <f t="shared" si="21"/>
        <v>1.24999999999999E-2</v>
      </c>
      <c r="W79">
        <f t="shared" si="22"/>
        <v>1.2500000000000219E-2</v>
      </c>
      <c r="X79">
        <v>0</v>
      </c>
      <c r="Y79">
        <v>52.8</v>
      </c>
      <c r="Z79">
        <v>102</v>
      </c>
      <c r="AA79">
        <v>57.599999999999987</v>
      </c>
      <c r="AB79">
        <v>0</v>
      </c>
      <c r="AC79">
        <v>0</v>
      </c>
      <c r="AD79">
        <v>0</v>
      </c>
      <c r="AE79">
        <v>0</v>
      </c>
      <c r="AF79">
        <v>2.9999999999997158</v>
      </c>
      <c r="AG79">
        <v>180</v>
      </c>
      <c r="AH79">
        <v>182.99999999999969</v>
      </c>
      <c r="AI79">
        <v>2.250249999999999</v>
      </c>
      <c r="AJ79">
        <v>0.45000000000001528</v>
      </c>
      <c r="AK79">
        <v>0.89999999999999136</v>
      </c>
      <c r="AL79">
        <v>1.3499999999999861</v>
      </c>
      <c r="AM79">
        <v>4.9502499999999907</v>
      </c>
      <c r="AN79">
        <v>180</v>
      </c>
      <c r="AO79">
        <v>0</v>
      </c>
      <c r="AP79">
        <v>0.3</v>
      </c>
      <c r="AQ79">
        <v>1.0799999999999681</v>
      </c>
      <c r="AR79">
        <v>1.6199999999997901</v>
      </c>
      <c r="AS79">
        <v>2.7600000000001779</v>
      </c>
      <c r="AT79">
        <v>0.23999999999998381</v>
      </c>
      <c r="AU79">
        <v>0</v>
      </c>
      <c r="AV79">
        <v>0</v>
      </c>
      <c r="AW79">
        <v>2.999999999999758</v>
      </c>
      <c r="AX79">
        <v>3.0000000000001621</v>
      </c>
      <c r="AY79">
        <v>2.99999999999996</v>
      </c>
      <c r="AZ79">
        <v>2.9999999999996021</v>
      </c>
      <c r="BA79">
        <v>2.999999999999829</v>
      </c>
      <c r="BB79">
        <v>2.9999999999997158</v>
      </c>
      <c r="BC79">
        <v>1.3800000000000889</v>
      </c>
      <c r="BD79">
        <v>0.26999999999999191</v>
      </c>
      <c r="BE79">
        <v>0.53999999999998383</v>
      </c>
      <c r="BF79">
        <v>0.80999999999989492</v>
      </c>
    </row>
    <row r="80" spans="1:58" x14ac:dyDescent="0.2">
      <c r="A80">
        <v>323</v>
      </c>
      <c r="B80">
        <v>50</v>
      </c>
      <c r="C80">
        <v>375</v>
      </c>
      <c r="D80">
        <v>250</v>
      </c>
      <c r="E80">
        <v>375</v>
      </c>
      <c r="F80">
        <f t="shared" si="12"/>
        <v>625</v>
      </c>
      <c r="G80">
        <f t="shared" si="12"/>
        <v>625</v>
      </c>
      <c r="H80">
        <v>1166.666666666667</v>
      </c>
      <c r="I80">
        <v>0.22500000000000001</v>
      </c>
      <c r="J80">
        <v>0.25</v>
      </c>
      <c r="K80">
        <v>0.22500000000000001</v>
      </c>
      <c r="L80">
        <f t="shared" si="13"/>
        <v>0.47499999999999998</v>
      </c>
      <c r="M80">
        <f t="shared" si="14"/>
        <v>0.47499999999999998</v>
      </c>
      <c r="N80">
        <v>0.7</v>
      </c>
      <c r="O80">
        <f t="shared" si="15"/>
        <v>0.17499999999999999</v>
      </c>
      <c r="P80">
        <f t="shared" si="16"/>
        <v>9.9999999999999978E-2</v>
      </c>
      <c r="Q80">
        <f t="shared" si="17"/>
        <v>0.125</v>
      </c>
      <c r="R80">
        <f t="shared" si="17"/>
        <v>0</v>
      </c>
      <c r="S80">
        <f t="shared" si="18"/>
        <v>0</v>
      </c>
      <c r="T80">
        <f t="shared" si="19"/>
        <v>0.19999999999999996</v>
      </c>
      <c r="U80">
        <f t="shared" si="20"/>
        <v>0.26575364531836621</v>
      </c>
      <c r="V80">
        <f t="shared" si="21"/>
        <v>0.23717082451262844</v>
      </c>
      <c r="W80">
        <f t="shared" si="22"/>
        <v>0.19999999999999996</v>
      </c>
      <c r="X80">
        <v>0</v>
      </c>
      <c r="Y80">
        <v>8.4</v>
      </c>
      <c r="Z80">
        <v>85.2</v>
      </c>
      <c r="AA80">
        <v>106.8</v>
      </c>
      <c r="AB80">
        <v>0</v>
      </c>
      <c r="AC80">
        <v>0</v>
      </c>
      <c r="AD80">
        <v>0</v>
      </c>
      <c r="AE80">
        <v>0</v>
      </c>
      <c r="AF80">
        <v>42.599999999999639</v>
      </c>
      <c r="AG80">
        <v>84</v>
      </c>
      <c r="AH80">
        <v>126.5999999999996</v>
      </c>
      <c r="AI80">
        <v>24.190000000000019</v>
      </c>
      <c r="AJ80">
        <v>8.9099999999999948</v>
      </c>
      <c r="AK80">
        <v>33.214999999999989</v>
      </c>
      <c r="AL80">
        <v>4.5070000000000174</v>
      </c>
      <c r="AM80">
        <v>70.822000000000017</v>
      </c>
      <c r="AN80">
        <v>180</v>
      </c>
      <c r="AO80">
        <v>0</v>
      </c>
      <c r="AP80">
        <v>5.2800000000000482</v>
      </c>
      <c r="AQ80">
        <v>25.097999999999839</v>
      </c>
      <c r="AR80">
        <v>5.6220000000001971</v>
      </c>
      <c r="AS80">
        <v>29.02799999999932</v>
      </c>
      <c r="AT80">
        <v>5.4120000000000186</v>
      </c>
      <c r="AU80">
        <v>14.759999999999939</v>
      </c>
      <c r="AV80">
        <v>0</v>
      </c>
      <c r="AW80">
        <v>36.000000000000078</v>
      </c>
      <c r="AX80">
        <v>49.199999999999271</v>
      </c>
      <c r="AY80">
        <v>42.599999999999667</v>
      </c>
      <c r="AZ80">
        <v>36</v>
      </c>
      <c r="BA80">
        <v>49.199999999999278</v>
      </c>
      <c r="BB80">
        <v>42.599999999999639</v>
      </c>
      <c r="BC80">
        <v>14.51399999999966</v>
      </c>
      <c r="BD80">
        <v>5.3460000000000338</v>
      </c>
      <c r="BE80">
        <v>19.928999999999881</v>
      </c>
      <c r="BF80">
        <v>2.811000000000099</v>
      </c>
    </row>
    <row r="81" spans="1:58" x14ac:dyDescent="0.2">
      <c r="A81">
        <v>323</v>
      </c>
      <c r="B81">
        <v>47.5</v>
      </c>
      <c r="C81">
        <v>375</v>
      </c>
      <c r="D81">
        <v>250</v>
      </c>
      <c r="E81">
        <v>375</v>
      </c>
      <c r="F81">
        <f t="shared" si="12"/>
        <v>625</v>
      </c>
      <c r="G81">
        <f t="shared" si="12"/>
        <v>625</v>
      </c>
      <c r="H81">
        <v>1166.666666666667</v>
      </c>
      <c r="I81">
        <v>0.23684210526315791</v>
      </c>
      <c r="J81">
        <v>0.26315789473684209</v>
      </c>
      <c r="K81">
        <v>0.23684210526315791</v>
      </c>
      <c r="L81">
        <f t="shared" si="13"/>
        <v>0.5</v>
      </c>
      <c r="M81">
        <f t="shared" si="14"/>
        <v>0.5</v>
      </c>
      <c r="N81">
        <v>0.73684210526315796</v>
      </c>
      <c r="O81">
        <f t="shared" si="15"/>
        <v>0.18684210526315792</v>
      </c>
      <c r="P81">
        <f t="shared" si="16"/>
        <v>8.6842105263157887E-2</v>
      </c>
      <c r="Q81">
        <f t="shared" si="17"/>
        <v>0.1368421052631579</v>
      </c>
      <c r="R81">
        <f t="shared" si="17"/>
        <v>0</v>
      </c>
      <c r="S81">
        <f t="shared" si="18"/>
        <v>0</v>
      </c>
      <c r="T81">
        <f t="shared" si="19"/>
        <v>0.23684210526315796</v>
      </c>
      <c r="U81">
        <f t="shared" si="20"/>
        <v>0.30166894955340329</v>
      </c>
      <c r="V81">
        <f t="shared" si="21"/>
        <v>0.24734042394756173</v>
      </c>
      <c r="W81">
        <f t="shared" si="22"/>
        <v>0.23684210526315796</v>
      </c>
      <c r="X81">
        <v>0</v>
      </c>
      <c r="Y81">
        <v>7.1999999999999993</v>
      </c>
      <c r="Z81">
        <v>84</v>
      </c>
      <c r="AA81">
        <v>103.2</v>
      </c>
      <c r="AB81">
        <v>0</v>
      </c>
      <c r="AC81">
        <v>0</v>
      </c>
      <c r="AD81">
        <v>0</v>
      </c>
      <c r="AE81">
        <v>0</v>
      </c>
      <c r="AF81">
        <v>40.799999999999862</v>
      </c>
      <c r="AG81">
        <v>88.421052631578945</v>
      </c>
      <c r="AH81">
        <v>129.2210526315788</v>
      </c>
      <c r="AI81">
        <v>24.315789473684202</v>
      </c>
      <c r="AJ81">
        <v>10.33684210526315</v>
      </c>
      <c r="AK81">
        <v>28.736842105263172</v>
      </c>
      <c r="AL81">
        <v>4.6105263157894711</v>
      </c>
      <c r="AM81">
        <v>67.999999999999986</v>
      </c>
      <c r="AN81">
        <v>180</v>
      </c>
      <c r="AO81">
        <v>0</v>
      </c>
      <c r="AP81">
        <v>7.3768421052630906</v>
      </c>
      <c r="AQ81">
        <v>20.31157894736841</v>
      </c>
      <c r="AR81">
        <v>5.5326315789473783</v>
      </c>
      <c r="AS81">
        <v>29.178947368421031</v>
      </c>
      <c r="AT81">
        <v>5.0273684210525564</v>
      </c>
      <c r="AU81">
        <v>14.17263157894736</v>
      </c>
      <c r="AV81">
        <v>0</v>
      </c>
      <c r="AW81">
        <v>33.221052631578893</v>
      </c>
      <c r="AX81">
        <v>48.378947368420953</v>
      </c>
      <c r="AY81">
        <v>40.799999999999919</v>
      </c>
      <c r="AZ81">
        <v>33.221052631578658</v>
      </c>
      <c r="BA81">
        <v>48.378947368421073</v>
      </c>
      <c r="BB81">
        <v>40.799999999999862</v>
      </c>
      <c r="BC81">
        <v>14.589473684210519</v>
      </c>
      <c r="BD81">
        <v>6.202105263157824</v>
      </c>
      <c r="BE81">
        <v>17.242105263157889</v>
      </c>
      <c r="BF81">
        <v>2.7663157894736892</v>
      </c>
    </row>
    <row r="82" spans="1:58" x14ac:dyDescent="0.2">
      <c r="A82">
        <v>323</v>
      </c>
      <c r="B82">
        <v>45</v>
      </c>
      <c r="C82">
        <v>375</v>
      </c>
      <c r="D82">
        <v>250</v>
      </c>
      <c r="E82">
        <v>375</v>
      </c>
      <c r="F82">
        <f t="shared" si="12"/>
        <v>625</v>
      </c>
      <c r="G82">
        <f t="shared" si="12"/>
        <v>625</v>
      </c>
      <c r="H82">
        <v>1166.666666666667</v>
      </c>
      <c r="I82">
        <v>0.25</v>
      </c>
      <c r="J82">
        <v>0.27777777777777779</v>
      </c>
      <c r="K82">
        <v>0.25</v>
      </c>
      <c r="L82">
        <f t="shared" si="13"/>
        <v>0.52777777777777779</v>
      </c>
      <c r="M82">
        <f t="shared" si="14"/>
        <v>0.52777777777777779</v>
      </c>
      <c r="N82">
        <v>0.77777777777777779</v>
      </c>
      <c r="O82">
        <f t="shared" si="15"/>
        <v>0.2</v>
      </c>
      <c r="P82">
        <f t="shared" si="16"/>
        <v>7.2222222222222188E-2</v>
      </c>
      <c r="Q82">
        <f t="shared" si="17"/>
        <v>0.15</v>
      </c>
      <c r="R82">
        <f t="shared" si="17"/>
        <v>0</v>
      </c>
      <c r="S82">
        <f t="shared" si="18"/>
        <v>0</v>
      </c>
      <c r="T82">
        <f t="shared" si="19"/>
        <v>0.22222222222222221</v>
      </c>
      <c r="U82">
        <f t="shared" si="20"/>
        <v>0.29896942326830467</v>
      </c>
      <c r="V82">
        <f t="shared" si="21"/>
        <v>0.26022307619178597</v>
      </c>
      <c r="W82">
        <f t="shared" si="22"/>
        <v>0.22222222222222221</v>
      </c>
      <c r="X82">
        <v>0</v>
      </c>
      <c r="Y82">
        <v>2.4</v>
      </c>
      <c r="Z82">
        <v>79.2</v>
      </c>
      <c r="AA82">
        <v>99.6</v>
      </c>
      <c r="AB82">
        <v>0</v>
      </c>
      <c r="AC82">
        <v>0</v>
      </c>
      <c r="AD82">
        <v>0</v>
      </c>
      <c r="AE82">
        <v>0</v>
      </c>
      <c r="AF82">
        <v>45.333333333333243</v>
      </c>
      <c r="AG82">
        <v>93.333333333333343</v>
      </c>
      <c r="AH82">
        <v>138.6666666666666</v>
      </c>
      <c r="AI82">
        <v>21.673975308641982</v>
      </c>
      <c r="AJ82">
        <v>16.222222222222261</v>
      </c>
      <c r="AK82">
        <v>31.063555555555549</v>
      </c>
      <c r="AL82">
        <v>5.1113086419752971</v>
      </c>
      <c r="AM82">
        <v>74.07106172839508</v>
      </c>
      <c r="AN82">
        <v>180</v>
      </c>
      <c r="AO82">
        <v>0</v>
      </c>
      <c r="AP82">
        <v>12.48000000000005</v>
      </c>
      <c r="AQ82">
        <v>22.639999999999979</v>
      </c>
      <c r="AR82">
        <v>6.6133333333333013</v>
      </c>
      <c r="AS82">
        <v>26.10666666666657</v>
      </c>
      <c r="AT82">
        <v>6.9866666666666992</v>
      </c>
      <c r="AU82">
        <v>15.83999999999998</v>
      </c>
      <c r="AV82">
        <v>0</v>
      </c>
      <c r="AW82">
        <v>41.733333333333327</v>
      </c>
      <c r="AX82">
        <v>48.933333333333252</v>
      </c>
      <c r="AY82">
        <v>45.333333333333293</v>
      </c>
      <c r="AZ82">
        <v>41.733333333333228</v>
      </c>
      <c r="BA82">
        <v>48.933333333333252</v>
      </c>
      <c r="BB82">
        <v>45.333333333333243</v>
      </c>
      <c r="BC82">
        <v>13.053333333333279</v>
      </c>
      <c r="BD82">
        <v>9.7333333333333734</v>
      </c>
      <c r="BE82">
        <v>19.239999999999981</v>
      </c>
      <c r="BF82">
        <v>3.3066666666666511</v>
      </c>
    </row>
    <row r="83" spans="1:58" x14ac:dyDescent="0.2">
      <c r="A83">
        <v>323</v>
      </c>
      <c r="B83">
        <v>42.5</v>
      </c>
      <c r="C83">
        <v>375</v>
      </c>
      <c r="D83">
        <v>250</v>
      </c>
      <c r="E83">
        <v>375</v>
      </c>
      <c r="F83">
        <f t="shared" si="12"/>
        <v>625</v>
      </c>
      <c r="G83">
        <f t="shared" si="12"/>
        <v>625</v>
      </c>
      <c r="H83">
        <v>1166.666666666667</v>
      </c>
      <c r="I83">
        <v>0.26470588235294118</v>
      </c>
      <c r="J83">
        <v>0.29411764705882348</v>
      </c>
      <c r="K83">
        <v>0.26470588235294118</v>
      </c>
      <c r="L83">
        <f t="shared" si="13"/>
        <v>0.55882352941176472</v>
      </c>
      <c r="M83">
        <f t="shared" si="14"/>
        <v>0.55882352941176472</v>
      </c>
      <c r="N83">
        <v>0.82352941176470584</v>
      </c>
      <c r="O83">
        <f t="shared" si="15"/>
        <v>0.18529411764705883</v>
      </c>
      <c r="P83">
        <f t="shared" si="16"/>
        <v>5.5882352941176494E-2</v>
      </c>
      <c r="Q83">
        <f t="shared" si="17"/>
        <v>0.13529411764705884</v>
      </c>
      <c r="R83">
        <f t="shared" si="17"/>
        <v>0</v>
      </c>
      <c r="S83">
        <f t="shared" si="18"/>
        <v>8.8235294117646745E-3</v>
      </c>
      <c r="T83">
        <f t="shared" si="19"/>
        <v>0.17647058823529416</v>
      </c>
      <c r="U83">
        <f t="shared" si="20"/>
        <v>0.25588235294117651</v>
      </c>
      <c r="V83">
        <f t="shared" si="21"/>
        <v>0.23613819190198881</v>
      </c>
      <c r="W83">
        <f t="shared" si="22"/>
        <v>0.17669103877500697</v>
      </c>
      <c r="X83">
        <v>0</v>
      </c>
      <c r="Y83">
        <v>94.8</v>
      </c>
      <c r="Z83">
        <v>6</v>
      </c>
      <c r="AA83">
        <v>14.4</v>
      </c>
      <c r="AB83">
        <v>0</v>
      </c>
      <c r="AC83">
        <v>0</v>
      </c>
      <c r="AD83">
        <v>0</v>
      </c>
      <c r="AE83">
        <v>0</v>
      </c>
      <c r="AF83">
        <v>50.823529411764262</v>
      </c>
      <c r="AG83">
        <v>98.82352941176471</v>
      </c>
      <c r="AH83">
        <v>149.64705882352899</v>
      </c>
      <c r="AI83">
        <v>4.360276816608998</v>
      </c>
      <c r="AJ83">
        <v>50.396249134948093</v>
      </c>
      <c r="AK83">
        <v>8.0823529411764632</v>
      </c>
      <c r="AL83">
        <v>19.857605536332169</v>
      </c>
      <c r="AM83">
        <v>82.696484429065706</v>
      </c>
      <c r="AN83">
        <v>180</v>
      </c>
      <c r="AO83">
        <v>0</v>
      </c>
      <c r="AP83">
        <v>35.971764705882379</v>
      </c>
      <c r="AQ83">
        <v>0</v>
      </c>
      <c r="AR83">
        <v>24.451764705882269</v>
      </c>
      <c r="AS83">
        <v>5.4635294117642239</v>
      </c>
      <c r="AT83">
        <v>26.061176470588219</v>
      </c>
      <c r="AU83">
        <v>9.6988235294117153</v>
      </c>
      <c r="AV83">
        <v>0</v>
      </c>
      <c r="AW83">
        <v>60.423529411764648</v>
      </c>
      <c r="AX83">
        <v>41.223529411764162</v>
      </c>
      <c r="AY83">
        <v>50.823529411764397</v>
      </c>
      <c r="AZ83">
        <v>60.42352941176425</v>
      </c>
      <c r="BA83">
        <v>41.223529411764261</v>
      </c>
      <c r="BB83">
        <v>50.823529411764262</v>
      </c>
      <c r="BC83">
        <v>2.731764705882112</v>
      </c>
      <c r="BD83">
        <v>31.0164705882353</v>
      </c>
      <c r="BE83">
        <v>4.8494117647058577</v>
      </c>
      <c r="BF83">
        <v>12.225882352941129</v>
      </c>
    </row>
    <row r="84" spans="1:58" x14ac:dyDescent="0.2">
      <c r="A84">
        <v>323</v>
      </c>
      <c r="B84">
        <v>40</v>
      </c>
      <c r="C84">
        <v>375</v>
      </c>
      <c r="D84">
        <v>250</v>
      </c>
      <c r="E84">
        <v>375</v>
      </c>
      <c r="F84">
        <f t="shared" si="12"/>
        <v>625</v>
      </c>
      <c r="G84">
        <f t="shared" si="12"/>
        <v>625</v>
      </c>
      <c r="H84">
        <v>1166.666666666667</v>
      </c>
      <c r="I84">
        <v>0.28125</v>
      </c>
      <c r="J84">
        <v>0.31250000000000011</v>
      </c>
      <c r="K84">
        <v>0.28125</v>
      </c>
      <c r="L84">
        <f t="shared" si="13"/>
        <v>0.59375000000000011</v>
      </c>
      <c r="M84">
        <f t="shared" si="14"/>
        <v>0.59375000000000011</v>
      </c>
      <c r="N84">
        <v>0.875</v>
      </c>
      <c r="O84">
        <f t="shared" si="15"/>
        <v>0.16875000000000001</v>
      </c>
      <c r="P84">
        <f t="shared" si="16"/>
        <v>3.7499999999999867E-2</v>
      </c>
      <c r="Q84">
        <f t="shared" si="17"/>
        <v>0.11875000000000002</v>
      </c>
      <c r="R84">
        <f t="shared" si="17"/>
        <v>0</v>
      </c>
      <c r="S84">
        <f t="shared" si="18"/>
        <v>4.3750000000000067E-2</v>
      </c>
      <c r="T84">
        <f t="shared" si="19"/>
        <v>0.125</v>
      </c>
      <c r="U84">
        <f t="shared" si="20"/>
        <v>0.21000372020514305</v>
      </c>
      <c r="V84">
        <f t="shared" si="21"/>
        <v>0.20972452169453146</v>
      </c>
      <c r="W84">
        <f t="shared" si="22"/>
        <v>0.13243512562760684</v>
      </c>
      <c r="X84">
        <v>0</v>
      </c>
      <c r="Y84">
        <v>4.8</v>
      </c>
      <c r="Z84">
        <v>55.2</v>
      </c>
      <c r="AA84">
        <v>88.8</v>
      </c>
      <c r="AB84">
        <v>0</v>
      </c>
      <c r="AC84">
        <v>0</v>
      </c>
      <c r="AD84">
        <v>0</v>
      </c>
      <c r="AE84">
        <v>0</v>
      </c>
      <c r="AF84">
        <v>53.999999999999517</v>
      </c>
      <c r="AG84">
        <v>105</v>
      </c>
      <c r="AH84">
        <v>158.99999999999949</v>
      </c>
      <c r="AI84">
        <v>31.486750000000001</v>
      </c>
      <c r="AJ84">
        <v>32.125374999999977</v>
      </c>
      <c r="AK84">
        <v>25.142375000000008</v>
      </c>
      <c r="AL84">
        <v>0.10000000000000379</v>
      </c>
      <c r="AM84">
        <v>88.854500000000002</v>
      </c>
      <c r="AN84">
        <v>180</v>
      </c>
      <c r="AO84">
        <v>0</v>
      </c>
      <c r="AP84">
        <v>13.56000000000002</v>
      </c>
      <c r="AQ84">
        <v>4.289999999999984</v>
      </c>
      <c r="AR84">
        <v>0.14999999999983829</v>
      </c>
      <c r="AS84">
        <v>38.549999999999507</v>
      </c>
      <c r="AT84">
        <v>25.439999999999898</v>
      </c>
      <c r="AU84">
        <v>26.009999999999771</v>
      </c>
      <c r="AV84">
        <v>0</v>
      </c>
      <c r="AW84">
        <v>17.99999999999984</v>
      </c>
      <c r="AX84">
        <v>89.99999999999919</v>
      </c>
      <c r="AY84">
        <v>53.999999999999517</v>
      </c>
      <c r="AZ84">
        <v>17.99999999999984</v>
      </c>
      <c r="BA84">
        <v>89.999999999999204</v>
      </c>
      <c r="BB84">
        <v>53.999999999999517</v>
      </c>
      <c r="BC84">
        <v>19.274999999999761</v>
      </c>
      <c r="BD84">
        <v>19.499999999999961</v>
      </c>
      <c r="BE84">
        <v>15.14999999999988</v>
      </c>
      <c r="BF84">
        <v>7.4999999999919159E-2</v>
      </c>
    </row>
    <row r="85" spans="1:58" x14ac:dyDescent="0.2">
      <c r="A85">
        <v>323</v>
      </c>
      <c r="B85">
        <v>37.5</v>
      </c>
      <c r="C85">
        <v>375</v>
      </c>
      <c r="D85">
        <v>250</v>
      </c>
      <c r="E85">
        <v>375</v>
      </c>
      <c r="F85">
        <f t="shared" si="12"/>
        <v>625</v>
      </c>
      <c r="G85">
        <f t="shared" si="12"/>
        <v>625</v>
      </c>
      <c r="H85">
        <v>1166.666666666667</v>
      </c>
      <c r="I85">
        <v>0.3</v>
      </c>
      <c r="J85">
        <v>0.33333333333333343</v>
      </c>
      <c r="K85">
        <v>0.3</v>
      </c>
      <c r="L85">
        <f t="shared" si="13"/>
        <v>0.63333333333333341</v>
      </c>
      <c r="M85">
        <f t="shared" si="14"/>
        <v>0.63333333333333341</v>
      </c>
      <c r="N85">
        <v>0.93333333333333335</v>
      </c>
      <c r="O85">
        <f t="shared" si="15"/>
        <v>0.15000000000000002</v>
      </c>
      <c r="P85">
        <f t="shared" si="16"/>
        <v>1.6666666666666552E-2</v>
      </c>
      <c r="Q85">
        <f t="shared" si="17"/>
        <v>0.10000000000000003</v>
      </c>
      <c r="R85">
        <f t="shared" si="17"/>
        <v>3.3333333333333437E-2</v>
      </c>
      <c r="S85">
        <f t="shared" si="18"/>
        <v>8.333333333333337E-2</v>
      </c>
      <c r="T85">
        <f t="shared" si="19"/>
        <v>6.6666666666666652E-2</v>
      </c>
      <c r="U85">
        <f t="shared" si="20"/>
        <v>0.1641476300299351</v>
      </c>
      <c r="V85">
        <f t="shared" si="21"/>
        <v>0.18104634152000362</v>
      </c>
      <c r="W85">
        <f t="shared" si="22"/>
        <v>0.11180339887498954</v>
      </c>
      <c r="X85">
        <v>0</v>
      </c>
      <c r="Y85">
        <v>37.200000000000003</v>
      </c>
      <c r="Z85">
        <v>16.8</v>
      </c>
      <c r="AA85">
        <v>97.2</v>
      </c>
      <c r="AB85">
        <v>0</v>
      </c>
      <c r="AC85">
        <v>0</v>
      </c>
      <c r="AD85">
        <v>0</v>
      </c>
      <c r="AE85">
        <v>0</v>
      </c>
      <c r="AF85">
        <v>51.999999999999673</v>
      </c>
      <c r="AG85">
        <v>112</v>
      </c>
      <c r="AH85">
        <v>163.99999999999969</v>
      </c>
      <c r="AI85">
        <v>29.16044444444444</v>
      </c>
      <c r="AJ85">
        <v>6.0666666666666691</v>
      </c>
      <c r="AK85">
        <v>21.20000000000001</v>
      </c>
      <c r="AL85">
        <v>27.796000000000031</v>
      </c>
      <c r="AM85">
        <v>84.223111111111137</v>
      </c>
      <c r="AN85">
        <v>180</v>
      </c>
      <c r="AO85">
        <v>0</v>
      </c>
      <c r="AP85">
        <v>1.2</v>
      </c>
      <c r="AQ85">
        <v>21.8399999999999</v>
      </c>
      <c r="AR85">
        <v>34.960000000000178</v>
      </c>
      <c r="AS85">
        <v>36.319999999999553</v>
      </c>
      <c r="AT85">
        <v>6.0800000000000489</v>
      </c>
      <c r="AU85">
        <v>3.6</v>
      </c>
      <c r="AV85">
        <v>0</v>
      </c>
      <c r="AW85">
        <v>58.000000000000092</v>
      </c>
      <c r="AX85">
        <v>45.999999999999588</v>
      </c>
      <c r="AY85">
        <v>51.999999999999837</v>
      </c>
      <c r="AZ85">
        <v>58</v>
      </c>
      <c r="BA85">
        <v>45.999999999999517</v>
      </c>
      <c r="BB85">
        <v>51.999999999999758</v>
      </c>
      <c r="BC85">
        <v>18.159999999999769</v>
      </c>
      <c r="BD85">
        <v>3.640000000000025</v>
      </c>
      <c r="BE85">
        <v>12.719999999999949</v>
      </c>
      <c r="BF85">
        <v>17.480000000000089</v>
      </c>
    </row>
    <row r="86" spans="1:58" x14ac:dyDescent="0.2">
      <c r="A86">
        <v>323</v>
      </c>
      <c r="B86">
        <v>35</v>
      </c>
      <c r="C86">
        <v>375</v>
      </c>
      <c r="D86">
        <v>250</v>
      </c>
      <c r="E86">
        <v>375</v>
      </c>
      <c r="F86">
        <f t="shared" si="12"/>
        <v>625</v>
      </c>
      <c r="G86">
        <f t="shared" si="12"/>
        <v>625</v>
      </c>
      <c r="H86">
        <v>1166.666666666667</v>
      </c>
      <c r="I86">
        <v>0.3214285714285714</v>
      </c>
      <c r="J86">
        <v>0.35714285714285721</v>
      </c>
      <c r="K86">
        <v>0.3214285714285714</v>
      </c>
      <c r="L86">
        <f t="shared" si="13"/>
        <v>0.6785714285714286</v>
      </c>
      <c r="M86">
        <f t="shared" si="14"/>
        <v>0.6785714285714286</v>
      </c>
      <c r="N86">
        <v>1</v>
      </c>
      <c r="O86">
        <f t="shared" si="15"/>
        <v>0.12857142857142861</v>
      </c>
      <c r="P86">
        <f t="shared" si="16"/>
        <v>0</v>
      </c>
      <c r="Q86">
        <f t="shared" si="17"/>
        <v>7.8571428571428625E-2</v>
      </c>
      <c r="R86">
        <f t="shared" si="17"/>
        <v>7.8571428571428625E-2</v>
      </c>
      <c r="S86">
        <f t="shared" si="18"/>
        <v>0.12857142857142856</v>
      </c>
      <c r="T86">
        <f t="shared" si="19"/>
        <v>0</v>
      </c>
      <c r="U86">
        <f t="shared" si="20"/>
        <v>0.12857142857142861</v>
      </c>
      <c r="V86">
        <f t="shared" si="21"/>
        <v>0.15067873649806426</v>
      </c>
      <c r="W86">
        <f t="shared" si="22"/>
        <v>0.15067873649806421</v>
      </c>
      <c r="X86">
        <v>0</v>
      </c>
      <c r="Y86">
        <v>43.2</v>
      </c>
      <c r="Z86">
        <v>50.4</v>
      </c>
      <c r="AA86">
        <v>115.2</v>
      </c>
      <c r="AB86">
        <v>0</v>
      </c>
      <c r="AC86">
        <v>0</v>
      </c>
      <c r="AD86">
        <v>0</v>
      </c>
      <c r="AE86">
        <v>0</v>
      </c>
      <c r="AF86">
        <v>49.714285714285403</v>
      </c>
      <c r="AG86">
        <v>120</v>
      </c>
      <c r="AH86">
        <v>169.71428571428541</v>
      </c>
      <c r="AI86">
        <v>26.601306122448989</v>
      </c>
      <c r="AJ86">
        <v>29.228571428571438</v>
      </c>
      <c r="AK86">
        <v>19.68571428571428</v>
      </c>
      <c r="AL86">
        <v>5.4435918367347078</v>
      </c>
      <c r="AM86">
        <v>80.959183673469411</v>
      </c>
      <c r="AN86">
        <v>180</v>
      </c>
      <c r="AO86">
        <v>0</v>
      </c>
      <c r="AP86">
        <v>4.6285714285714983</v>
      </c>
      <c r="AQ86">
        <v>6.9942857142857973</v>
      </c>
      <c r="AR86">
        <v>6.8914285714285342</v>
      </c>
      <c r="AS86">
        <v>33.839999999999741</v>
      </c>
      <c r="AT86">
        <v>30.445714285714189</v>
      </c>
      <c r="AU86">
        <v>16.628571428571341</v>
      </c>
      <c r="AV86">
        <v>0</v>
      </c>
      <c r="AW86">
        <v>18.51428571428583</v>
      </c>
      <c r="AX86">
        <v>80.914285714285256</v>
      </c>
      <c r="AY86">
        <v>49.714285714285538</v>
      </c>
      <c r="AZ86">
        <v>18.51428571428556</v>
      </c>
      <c r="BA86">
        <v>80.914285714285228</v>
      </c>
      <c r="BB86">
        <v>49.714285714285403</v>
      </c>
      <c r="BC86">
        <v>16.91999999999987</v>
      </c>
      <c r="BD86">
        <v>17.53714285714284</v>
      </c>
      <c r="BE86">
        <v>11.81142857142857</v>
      </c>
      <c r="BF86">
        <v>3.4457142857142671</v>
      </c>
    </row>
    <row r="87" spans="1:58" x14ac:dyDescent="0.2">
      <c r="A87">
        <v>323</v>
      </c>
      <c r="B87">
        <v>32.5</v>
      </c>
      <c r="C87">
        <v>375</v>
      </c>
      <c r="D87">
        <v>250</v>
      </c>
      <c r="E87">
        <v>375</v>
      </c>
      <c r="F87">
        <f t="shared" si="12"/>
        <v>625</v>
      </c>
      <c r="G87">
        <f t="shared" si="12"/>
        <v>625</v>
      </c>
      <c r="H87">
        <v>1166.666666666667</v>
      </c>
      <c r="I87">
        <v>0.3461538461538462</v>
      </c>
      <c r="J87">
        <v>0.38461538461538458</v>
      </c>
      <c r="K87">
        <v>0.3461538461538462</v>
      </c>
      <c r="L87">
        <f t="shared" si="13"/>
        <v>0.73076923076923084</v>
      </c>
      <c r="M87">
        <f t="shared" si="14"/>
        <v>0.73076923076923084</v>
      </c>
      <c r="N87">
        <v>1.0769230769230771</v>
      </c>
      <c r="O87">
        <f t="shared" si="15"/>
        <v>0.10384615384615381</v>
      </c>
      <c r="P87">
        <f t="shared" si="16"/>
        <v>0</v>
      </c>
      <c r="Q87">
        <f t="shared" si="17"/>
        <v>5.3846153846153821E-2</v>
      </c>
      <c r="R87">
        <f t="shared" si="17"/>
        <v>0.13076923076923086</v>
      </c>
      <c r="S87">
        <f t="shared" si="18"/>
        <v>0.18076923076923079</v>
      </c>
      <c r="T87">
        <f t="shared" si="19"/>
        <v>7.6923076923077094E-2</v>
      </c>
      <c r="U87">
        <f t="shared" si="20"/>
        <v>0.12923305858778039</v>
      </c>
      <c r="V87">
        <f t="shared" si="21"/>
        <v>0.11697620250573496</v>
      </c>
      <c r="W87">
        <f t="shared" si="22"/>
        <v>0.23599844548680698</v>
      </c>
      <c r="X87">
        <v>0</v>
      </c>
      <c r="Y87">
        <v>43.2</v>
      </c>
      <c r="Z87">
        <v>46.8</v>
      </c>
      <c r="AA87">
        <v>115.2</v>
      </c>
      <c r="AB87">
        <v>0</v>
      </c>
      <c r="AC87">
        <v>0</v>
      </c>
      <c r="AD87">
        <v>0</v>
      </c>
      <c r="AE87">
        <v>0</v>
      </c>
      <c r="AF87">
        <v>47.076923076922739</v>
      </c>
      <c r="AG87">
        <v>129.23076923076931</v>
      </c>
      <c r="AH87">
        <v>176.30769230769201</v>
      </c>
      <c r="AI87">
        <v>24.23947928994081</v>
      </c>
      <c r="AJ87">
        <v>26.553846153846159</v>
      </c>
      <c r="AK87">
        <v>17.661538461538459</v>
      </c>
      <c r="AL87">
        <v>8.2397869822484928</v>
      </c>
      <c r="AM87">
        <v>76.694650887573928</v>
      </c>
      <c r="AN87">
        <v>180</v>
      </c>
      <c r="AO87">
        <v>0</v>
      </c>
      <c r="AP87">
        <v>1.661538461538536</v>
      </c>
      <c r="AQ87">
        <v>11.132307692307551</v>
      </c>
      <c r="AR87">
        <v>10.28307692307709</v>
      </c>
      <c r="AS87">
        <v>30.81230769230703</v>
      </c>
      <c r="AT87">
        <v>30.20307692307712</v>
      </c>
      <c r="AU87">
        <v>10.06153846153846</v>
      </c>
      <c r="AV87">
        <v>0</v>
      </c>
      <c r="AW87">
        <v>23.076923076923169</v>
      </c>
      <c r="AX87">
        <v>71.076923076922597</v>
      </c>
      <c r="AY87">
        <v>47.076923076922881</v>
      </c>
      <c r="AZ87">
        <v>23.076923076922949</v>
      </c>
      <c r="BA87">
        <v>71.076923076922526</v>
      </c>
      <c r="BB87">
        <v>47.076923076922739</v>
      </c>
      <c r="BC87">
        <v>15.40615384615351</v>
      </c>
      <c r="BD87">
        <v>15.93230769230783</v>
      </c>
      <c r="BE87">
        <v>10.596923076923</v>
      </c>
      <c r="BF87">
        <v>5.141538461538544</v>
      </c>
    </row>
    <row r="88" spans="1:58" x14ac:dyDescent="0.2">
      <c r="A88">
        <v>323</v>
      </c>
      <c r="B88">
        <v>30</v>
      </c>
      <c r="C88">
        <v>375</v>
      </c>
      <c r="D88">
        <v>250</v>
      </c>
      <c r="E88">
        <v>375</v>
      </c>
      <c r="F88">
        <f t="shared" si="12"/>
        <v>625</v>
      </c>
      <c r="G88">
        <f t="shared" si="12"/>
        <v>625</v>
      </c>
      <c r="H88">
        <v>1166.666666666667</v>
      </c>
      <c r="I88">
        <v>0.375</v>
      </c>
      <c r="J88">
        <v>0.41666666666666669</v>
      </c>
      <c r="K88">
        <v>0.375</v>
      </c>
      <c r="L88">
        <f t="shared" si="13"/>
        <v>0.79166666666666674</v>
      </c>
      <c r="M88">
        <f t="shared" si="14"/>
        <v>0.79166666666666674</v>
      </c>
      <c r="N88">
        <v>1.166666666666667</v>
      </c>
      <c r="O88">
        <f t="shared" si="15"/>
        <v>7.5000000000000011E-2</v>
      </c>
      <c r="P88">
        <f t="shared" si="16"/>
        <v>0</v>
      </c>
      <c r="Q88">
        <f t="shared" si="17"/>
        <v>2.5000000000000022E-2</v>
      </c>
      <c r="R88">
        <f t="shared" si="17"/>
        <v>0.10833333333333328</v>
      </c>
      <c r="S88">
        <f t="shared" si="18"/>
        <v>0.15833333333333321</v>
      </c>
      <c r="T88">
        <f t="shared" si="19"/>
        <v>0.16666666666666696</v>
      </c>
      <c r="U88">
        <f t="shared" si="20"/>
        <v>0.18276426832884451</v>
      </c>
      <c r="V88">
        <f t="shared" si="21"/>
        <v>7.9056941504209499E-2</v>
      </c>
      <c r="W88">
        <f t="shared" si="22"/>
        <v>0.25413251136628184</v>
      </c>
      <c r="X88">
        <v>0</v>
      </c>
      <c r="Y88">
        <v>57.599999999999987</v>
      </c>
      <c r="Z88">
        <v>0</v>
      </c>
      <c r="AA88">
        <v>93.6</v>
      </c>
      <c r="AB88">
        <v>0</v>
      </c>
      <c r="AC88">
        <v>0</v>
      </c>
      <c r="AD88">
        <v>0</v>
      </c>
      <c r="AE88">
        <v>0</v>
      </c>
      <c r="AF88">
        <v>39.999999999999972</v>
      </c>
      <c r="AG88">
        <v>140</v>
      </c>
      <c r="AH88">
        <v>180</v>
      </c>
      <c r="AI88">
        <v>5.3333333333333197</v>
      </c>
      <c r="AJ88">
        <v>10.500000000000011</v>
      </c>
      <c r="AK88">
        <v>10.33333333333333</v>
      </c>
      <c r="AL88">
        <v>40.500000000000021</v>
      </c>
      <c r="AM88">
        <v>66.666666666666671</v>
      </c>
      <c r="AN88">
        <v>180</v>
      </c>
      <c r="AO88">
        <v>0</v>
      </c>
      <c r="AP88">
        <v>12.6</v>
      </c>
      <c r="AQ88">
        <v>12.40000000000016</v>
      </c>
      <c r="AR88">
        <v>48.599999999999838</v>
      </c>
      <c r="AS88">
        <v>6.400000000000162</v>
      </c>
      <c r="AT88">
        <v>0</v>
      </c>
      <c r="AU88">
        <v>0</v>
      </c>
      <c r="AV88">
        <v>0</v>
      </c>
      <c r="AW88">
        <v>73.599999999999994</v>
      </c>
      <c r="AX88">
        <v>6.400000000000162</v>
      </c>
      <c r="AY88">
        <v>40.000000000000078</v>
      </c>
      <c r="AZ88">
        <v>73.599999999999852</v>
      </c>
      <c r="BA88">
        <v>6.4000000000000909</v>
      </c>
      <c r="BB88">
        <v>39.999999999999972</v>
      </c>
      <c r="BC88">
        <v>3.200000000000081</v>
      </c>
      <c r="BD88">
        <v>6.3</v>
      </c>
      <c r="BE88">
        <v>6.200000000000081</v>
      </c>
      <c r="BF88">
        <v>24.299999999999919</v>
      </c>
    </row>
    <row r="89" spans="1:58" x14ac:dyDescent="0.2">
      <c r="A89">
        <v>323</v>
      </c>
      <c r="B89">
        <v>27.5</v>
      </c>
      <c r="C89">
        <v>375</v>
      </c>
      <c r="D89">
        <v>250</v>
      </c>
      <c r="E89">
        <v>375</v>
      </c>
      <c r="F89">
        <f t="shared" si="12"/>
        <v>625</v>
      </c>
      <c r="G89">
        <f t="shared" si="12"/>
        <v>625</v>
      </c>
      <c r="H89">
        <v>1166.666666666667</v>
      </c>
      <c r="I89">
        <v>0.40909090909090912</v>
      </c>
      <c r="J89">
        <v>0.45454545454545459</v>
      </c>
      <c r="K89">
        <v>0.40909090909090912</v>
      </c>
      <c r="L89">
        <f t="shared" si="13"/>
        <v>0.86363636363636376</v>
      </c>
      <c r="M89">
        <f t="shared" si="14"/>
        <v>0.86363636363636376</v>
      </c>
      <c r="N89">
        <v>1.2727272727272729</v>
      </c>
      <c r="O89">
        <f t="shared" si="15"/>
        <v>4.0909090909090895E-2</v>
      </c>
      <c r="P89">
        <f t="shared" si="16"/>
        <v>0</v>
      </c>
      <c r="Q89">
        <f t="shared" si="17"/>
        <v>0</v>
      </c>
      <c r="R89">
        <f t="shared" si="17"/>
        <v>3.6363636363636265E-2</v>
      </c>
      <c r="S89">
        <f t="shared" si="18"/>
        <v>8.6363636363636198E-2</v>
      </c>
      <c r="T89">
        <f t="shared" si="19"/>
        <v>0.22727272727272707</v>
      </c>
      <c r="U89">
        <f t="shared" si="20"/>
        <v>0.23092519628873687</v>
      </c>
      <c r="V89">
        <f t="shared" si="21"/>
        <v>4.0909090909090895E-2</v>
      </c>
      <c r="W89">
        <f t="shared" si="22"/>
        <v>0.24583304150890811</v>
      </c>
      <c r="X89">
        <v>0</v>
      </c>
      <c r="Y89">
        <v>37.200000000000003</v>
      </c>
      <c r="Z89">
        <v>80.399999999999991</v>
      </c>
      <c r="AA89">
        <v>33.6</v>
      </c>
      <c r="AB89">
        <v>0</v>
      </c>
      <c r="AC89">
        <v>0</v>
      </c>
      <c r="AD89">
        <v>0</v>
      </c>
      <c r="AE89">
        <v>0</v>
      </c>
      <c r="AF89">
        <v>27.272727272727249</v>
      </c>
      <c r="AG89">
        <v>152.72727272727269</v>
      </c>
      <c r="AH89">
        <v>180</v>
      </c>
      <c r="AI89">
        <v>28.090909090909069</v>
      </c>
      <c r="AJ89">
        <v>16.636363636363619</v>
      </c>
      <c r="AK89">
        <v>0</v>
      </c>
      <c r="AL89">
        <v>0.7272727272727243</v>
      </c>
      <c r="AM89">
        <v>45.454545454545418</v>
      </c>
      <c r="AN89">
        <v>180</v>
      </c>
      <c r="AO89">
        <v>0</v>
      </c>
      <c r="AP89">
        <v>0</v>
      </c>
      <c r="AQ89">
        <v>0</v>
      </c>
      <c r="AR89">
        <v>0.87272727272728745</v>
      </c>
      <c r="AS89">
        <v>33.709090909090847</v>
      </c>
      <c r="AT89">
        <v>19.963636363636439</v>
      </c>
      <c r="AU89">
        <v>0</v>
      </c>
      <c r="AV89">
        <v>0</v>
      </c>
      <c r="AW89">
        <v>0.87272727272728745</v>
      </c>
      <c r="AX89">
        <v>53.672727272727293</v>
      </c>
      <c r="AY89">
        <v>27.272727272727291</v>
      </c>
      <c r="AZ89">
        <v>0.87272727272724637</v>
      </c>
      <c r="BA89">
        <v>53.672727272727258</v>
      </c>
      <c r="BB89">
        <v>27.272727272727249</v>
      </c>
      <c r="BC89">
        <v>16.85454545454542</v>
      </c>
      <c r="BD89">
        <v>9.9818181818182179</v>
      </c>
      <c r="BE89">
        <v>0</v>
      </c>
      <c r="BF89">
        <v>0.43636363636364373</v>
      </c>
    </row>
    <row r="90" spans="1:58" x14ac:dyDescent="0.2">
      <c r="A90">
        <v>323</v>
      </c>
      <c r="B90">
        <v>25</v>
      </c>
      <c r="C90">
        <v>375</v>
      </c>
      <c r="D90">
        <v>250</v>
      </c>
      <c r="E90">
        <v>375</v>
      </c>
      <c r="F90">
        <f t="shared" si="12"/>
        <v>625</v>
      </c>
      <c r="G90">
        <f t="shared" si="12"/>
        <v>625</v>
      </c>
      <c r="H90">
        <v>1166.666666666667</v>
      </c>
      <c r="I90">
        <v>0.45</v>
      </c>
      <c r="J90">
        <v>0.5</v>
      </c>
      <c r="K90">
        <v>0.45</v>
      </c>
      <c r="L90">
        <f t="shared" si="13"/>
        <v>0.95</v>
      </c>
      <c r="M90">
        <f t="shared" si="14"/>
        <v>0.95</v>
      </c>
      <c r="N90">
        <v>1.4</v>
      </c>
      <c r="O90">
        <f t="shared" si="15"/>
        <v>0</v>
      </c>
      <c r="P90">
        <f t="shared" si="16"/>
        <v>0</v>
      </c>
      <c r="Q90">
        <f t="shared" si="17"/>
        <v>0</v>
      </c>
      <c r="R90">
        <f t="shared" si="17"/>
        <v>0</v>
      </c>
      <c r="S90">
        <f t="shared" si="18"/>
        <v>0</v>
      </c>
      <c r="T90">
        <f t="shared" si="19"/>
        <v>0.10000000000000009</v>
      </c>
      <c r="U90">
        <f t="shared" si="20"/>
        <v>0.10000000000000009</v>
      </c>
      <c r="V90">
        <f t="shared" si="21"/>
        <v>0</v>
      </c>
      <c r="W90">
        <f t="shared" si="22"/>
        <v>0.10000000000000009</v>
      </c>
      <c r="X90">
        <v>0</v>
      </c>
      <c r="Y90">
        <v>66</v>
      </c>
      <c r="Z90">
        <v>1.2</v>
      </c>
      <c r="AA90">
        <v>64.8</v>
      </c>
      <c r="AB90">
        <v>0</v>
      </c>
      <c r="AC90">
        <v>0</v>
      </c>
      <c r="AD90">
        <v>0</v>
      </c>
      <c r="AE90">
        <v>0</v>
      </c>
      <c r="AF90">
        <v>11.999999999999799</v>
      </c>
      <c r="AG90">
        <v>168</v>
      </c>
      <c r="AH90">
        <v>179.9999999999998</v>
      </c>
      <c r="AI90">
        <v>0</v>
      </c>
      <c r="AJ90">
        <v>13.999999999999989</v>
      </c>
      <c r="AK90">
        <v>2.0000000000000049</v>
      </c>
      <c r="AL90">
        <v>3.9999999999999898</v>
      </c>
      <c r="AM90">
        <v>19.999999999999989</v>
      </c>
      <c r="AN90">
        <v>180</v>
      </c>
      <c r="AO90">
        <v>0</v>
      </c>
      <c r="AP90">
        <v>12</v>
      </c>
      <c r="AQ90">
        <v>0</v>
      </c>
      <c r="AR90">
        <v>4.8</v>
      </c>
      <c r="AS90">
        <v>0</v>
      </c>
      <c r="AT90">
        <v>4.8</v>
      </c>
      <c r="AU90">
        <v>2.3999999999999191</v>
      </c>
      <c r="AV90">
        <v>0</v>
      </c>
      <c r="AW90">
        <v>16.8</v>
      </c>
      <c r="AX90">
        <v>7.1999999999999194</v>
      </c>
      <c r="AY90">
        <v>11.999999999999959</v>
      </c>
      <c r="AZ90">
        <v>16.800000000000011</v>
      </c>
      <c r="BA90">
        <v>7.1999999999995907</v>
      </c>
      <c r="BB90">
        <v>11.999999999999799</v>
      </c>
      <c r="BC90">
        <v>0</v>
      </c>
      <c r="BD90">
        <v>8.4</v>
      </c>
      <c r="BE90">
        <v>1.19999999999996</v>
      </c>
      <c r="BF90">
        <v>2.4</v>
      </c>
    </row>
    <row r="91" spans="1:58" x14ac:dyDescent="0.2">
      <c r="A91">
        <v>323</v>
      </c>
      <c r="B91">
        <v>22.5</v>
      </c>
      <c r="C91">
        <v>375</v>
      </c>
      <c r="D91">
        <v>250</v>
      </c>
      <c r="E91">
        <v>375</v>
      </c>
      <c r="F91">
        <f t="shared" si="12"/>
        <v>625</v>
      </c>
      <c r="G91">
        <f t="shared" si="12"/>
        <v>625</v>
      </c>
      <c r="H91">
        <v>1166.666666666667</v>
      </c>
      <c r="I91">
        <v>0.5</v>
      </c>
      <c r="J91">
        <v>0.55555555555555558</v>
      </c>
      <c r="K91">
        <v>0.5</v>
      </c>
      <c r="L91">
        <f t="shared" si="13"/>
        <v>1.0555555555555556</v>
      </c>
      <c r="M91">
        <f t="shared" si="14"/>
        <v>1.0555555555555556</v>
      </c>
      <c r="N91">
        <v>1.555555555555556</v>
      </c>
      <c r="O91">
        <f t="shared" si="15"/>
        <v>0</v>
      </c>
      <c r="P91">
        <f t="shared" si="16"/>
        <v>0</v>
      </c>
      <c r="Q91">
        <f t="shared" si="17"/>
        <v>0</v>
      </c>
      <c r="R91">
        <f t="shared" si="17"/>
        <v>0</v>
      </c>
      <c r="S91">
        <f t="shared" si="18"/>
        <v>5.5555555555555775E-3</v>
      </c>
      <c r="T91">
        <f t="shared" si="19"/>
        <v>5.5555555555556024E-2</v>
      </c>
      <c r="U91">
        <f t="shared" si="20"/>
        <v>5.5555555555556024E-2</v>
      </c>
      <c r="V91">
        <f t="shared" si="21"/>
        <v>0</v>
      </c>
      <c r="W91">
        <f t="shared" si="22"/>
        <v>5.5832642339560964E-2</v>
      </c>
      <c r="X91">
        <v>0</v>
      </c>
      <c r="Y91">
        <v>48</v>
      </c>
      <c r="Z91">
        <v>0</v>
      </c>
      <c r="AA91">
        <v>60</v>
      </c>
      <c r="AB91">
        <v>0</v>
      </c>
      <c r="AC91">
        <v>0</v>
      </c>
      <c r="AD91">
        <v>0</v>
      </c>
      <c r="AE91">
        <v>0</v>
      </c>
      <c r="AF91">
        <v>6.6666666666664014</v>
      </c>
      <c r="AG91">
        <v>186.66666666666671</v>
      </c>
      <c r="AH91">
        <v>193.33333333333309</v>
      </c>
      <c r="AI91">
        <v>1.111111111111112</v>
      </c>
      <c r="AJ91">
        <v>4.444444444444442</v>
      </c>
      <c r="AK91">
        <v>0</v>
      </c>
      <c r="AL91">
        <v>5.5555555555555527</v>
      </c>
      <c r="AM91">
        <v>11.111111111111111</v>
      </c>
      <c r="AN91">
        <v>180</v>
      </c>
      <c r="AO91">
        <v>0</v>
      </c>
      <c r="AP91">
        <v>0</v>
      </c>
      <c r="AQ91">
        <v>0</v>
      </c>
      <c r="AR91">
        <v>6.6666666666667478</v>
      </c>
      <c r="AS91">
        <v>1.3333333333331721</v>
      </c>
      <c r="AT91">
        <v>5.3333333333331714</v>
      </c>
      <c r="AU91">
        <v>0</v>
      </c>
      <c r="AV91">
        <v>0</v>
      </c>
      <c r="AW91">
        <v>6.6666666666667478</v>
      </c>
      <c r="AX91">
        <v>6.6666666666663428</v>
      </c>
      <c r="AY91">
        <v>6.6666666666665453</v>
      </c>
      <c r="AZ91">
        <v>6.6666666666664014</v>
      </c>
      <c r="BA91">
        <v>6.6666666666664014</v>
      </c>
      <c r="BB91">
        <v>6.6666666666664014</v>
      </c>
      <c r="BC91">
        <v>0.66666666666658581</v>
      </c>
      <c r="BD91">
        <v>2.6666666666665861</v>
      </c>
      <c r="BE91">
        <v>0</v>
      </c>
      <c r="BF91">
        <v>3.3333333333333739</v>
      </c>
    </row>
    <row r="92" spans="1:58" x14ac:dyDescent="0.2">
      <c r="A92">
        <v>323</v>
      </c>
      <c r="B92">
        <v>20</v>
      </c>
      <c r="C92">
        <v>375</v>
      </c>
      <c r="D92">
        <v>250</v>
      </c>
      <c r="E92">
        <v>375</v>
      </c>
      <c r="F92">
        <f t="shared" si="12"/>
        <v>625</v>
      </c>
      <c r="G92">
        <f t="shared" si="12"/>
        <v>625</v>
      </c>
      <c r="H92">
        <v>1166.666666666667</v>
      </c>
      <c r="I92">
        <v>0.5625</v>
      </c>
      <c r="J92">
        <v>0.62500000000000011</v>
      </c>
      <c r="K92">
        <v>0.5625</v>
      </c>
      <c r="L92">
        <f t="shared" si="13"/>
        <v>1.1875</v>
      </c>
      <c r="M92">
        <f t="shared" si="14"/>
        <v>1.1875</v>
      </c>
      <c r="N92">
        <v>1.75</v>
      </c>
      <c r="O92">
        <f t="shared" si="15"/>
        <v>1.2499999999999956E-2</v>
      </c>
      <c r="P92">
        <f t="shared" si="16"/>
        <v>0</v>
      </c>
      <c r="Q92">
        <f t="shared" si="17"/>
        <v>0</v>
      </c>
      <c r="R92">
        <f t="shared" si="17"/>
        <v>8.7499999999999994E-2</v>
      </c>
      <c r="S92">
        <f t="shared" si="18"/>
        <v>0.13750000000000001</v>
      </c>
      <c r="T92">
        <f t="shared" si="19"/>
        <v>0.25</v>
      </c>
      <c r="U92">
        <f t="shared" si="20"/>
        <v>0.25031230493125983</v>
      </c>
      <c r="V92">
        <f t="shared" si="21"/>
        <v>1.2499999999999956E-2</v>
      </c>
      <c r="W92">
        <f t="shared" si="22"/>
        <v>0.29843340965783305</v>
      </c>
      <c r="X92">
        <v>0</v>
      </c>
      <c r="Y92">
        <v>55.2</v>
      </c>
      <c r="Z92">
        <v>0</v>
      </c>
      <c r="AA92">
        <v>88.8</v>
      </c>
      <c r="AB92">
        <v>0</v>
      </c>
      <c r="AC92">
        <v>0</v>
      </c>
      <c r="AD92">
        <v>0</v>
      </c>
      <c r="AE92">
        <v>0</v>
      </c>
      <c r="AF92">
        <v>29.999999999999801</v>
      </c>
      <c r="AG92">
        <v>210</v>
      </c>
      <c r="AH92">
        <v>239.9999999999998</v>
      </c>
      <c r="AI92">
        <v>19.600000000000009</v>
      </c>
      <c r="AJ92">
        <v>23.449999999999989</v>
      </c>
      <c r="AK92">
        <v>6.149999999999995</v>
      </c>
      <c r="AL92">
        <v>0.80000000000001481</v>
      </c>
      <c r="AM92">
        <v>50.000000000000007</v>
      </c>
      <c r="AN92">
        <v>180</v>
      </c>
      <c r="AO92">
        <v>0</v>
      </c>
      <c r="AP92">
        <v>0.23999999999982211</v>
      </c>
      <c r="AQ92">
        <v>0</v>
      </c>
      <c r="AR92">
        <v>0.960000000000097</v>
      </c>
      <c r="AS92">
        <v>23.520000000000032</v>
      </c>
      <c r="AT92">
        <v>27.899999999999839</v>
      </c>
      <c r="AU92">
        <v>7.3799999999999679</v>
      </c>
      <c r="AV92">
        <v>0</v>
      </c>
      <c r="AW92">
        <v>1.1999999999999189</v>
      </c>
      <c r="AX92">
        <v>58.799999999999841</v>
      </c>
      <c r="AY92">
        <v>29.999999999999879</v>
      </c>
      <c r="AZ92">
        <v>1.199999999999932</v>
      </c>
      <c r="BA92">
        <v>58.79999999999967</v>
      </c>
      <c r="BB92">
        <v>29.999999999999801</v>
      </c>
      <c r="BC92">
        <v>11.760000000000019</v>
      </c>
      <c r="BD92">
        <v>14.06999999999983</v>
      </c>
      <c r="BE92">
        <v>3.689999999999984</v>
      </c>
      <c r="BF92">
        <v>0.4800000000000485</v>
      </c>
    </row>
    <row r="93" spans="1:58" x14ac:dyDescent="0.2">
      <c r="A93">
        <v>324</v>
      </c>
      <c r="B93">
        <v>50</v>
      </c>
      <c r="C93">
        <v>208.33333333333329</v>
      </c>
      <c r="D93">
        <v>250</v>
      </c>
      <c r="E93">
        <v>208.33333333333329</v>
      </c>
      <c r="F93">
        <f t="shared" si="12"/>
        <v>458.33333333333326</v>
      </c>
      <c r="G93">
        <f t="shared" si="12"/>
        <v>458.33333333333326</v>
      </c>
      <c r="H93">
        <v>833.33333333333337</v>
      </c>
      <c r="I93">
        <v>0.125</v>
      </c>
      <c r="J93">
        <v>0.25</v>
      </c>
      <c r="K93">
        <v>0.125</v>
      </c>
      <c r="L93">
        <f t="shared" si="13"/>
        <v>0.375</v>
      </c>
      <c r="M93">
        <f t="shared" si="14"/>
        <v>0.375</v>
      </c>
      <c r="N93">
        <v>0.5</v>
      </c>
      <c r="O93">
        <f t="shared" si="15"/>
        <v>7.4999999999999997E-2</v>
      </c>
      <c r="P93">
        <f t="shared" si="16"/>
        <v>9.9999999999999978E-2</v>
      </c>
      <c r="Q93">
        <f t="shared" si="17"/>
        <v>2.4999999999999994E-2</v>
      </c>
      <c r="R93">
        <f t="shared" si="17"/>
        <v>2.5000000000000022E-2</v>
      </c>
      <c r="S93">
        <f t="shared" si="18"/>
        <v>7.5000000000000011E-2</v>
      </c>
      <c r="T93">
        <f t="shared" si="19"/>
        <v>0</v>
      </c>
      <c r="U93">
        <f t="shared" si="20"/>
        <v>7.4999999999999997E-2</v>
      </c>
      <c r="V93">
        <f t="shared" si="21"/>
        <v>0.1274754878398196</v>
      </c>
      <c r="W93">
        <f t="shared" si="22"/>
        <v>7.9056941504209499E-2</v>
      </c>
      <c r="X93">
        <v>0</v>
      </c>
      <c r="Y93">
        <v>118.8</v>
      </c>
      <c r="Z93">
        <v>49.2</v>
      </c>
      <c r="AA93">
        <v>62.4</v>
      </c>
      <c r="AB93">
        <v>0</v>
      </c>
      <c r="AC93">
        <v>0</v>
      </c>
      <c r="AD93">
        <v>0</v>
      </c>
      <c r="AE93">
        <v>0</v>
      </c>
      <c r="AF93">
        <v>23.999999999999591</v>
      </c>
      <c r="AG93">
        <v>60</v>
      </c>
      <c r="AH93">
        <v>83.999999999999602</v>
      </c>
      <c r="AI93">
        <v>10.80000000000002</v>
      </c>
      <c r="AJ93">
        <v>16.549000000000021</v>
      </c>
      <c r="AK93">
        <v>9.1489999999999849</v>
      </c>
      <c r="AL93">
        <v>1.2000000000000119</v>
      </c>
      <c r="AM93">
        <v>37.698000000000043</v>
      </c>
      <c r="AN93">
        <v>180</v>
      </c>
      <c r="AO93">
        <v>0</v>
      </c>
      <c r="AP93">
        <v>3.359999999999935</v>
      </c>
      <c r="AQ93">
        <v>9.2400000000000642</v>
      </c>
      <c r="AR93">
        <v>1.8</v>
      </c>
      <c r="AS93">
        <v>13.799999999999599</v>
      </c>
      <c r="AT93">
        <v>17.280000000000051</v>
      </c>
      <c r="AU93">
        <v>2.5199999999999521</v>
      </c>
      <c r="AV93">
        <v>0</v>
      </c>
      <c r="AW93">
        <v>14.4</v>
      </c>
      <c r="AX93">
        <v>33.599999999999604</v>
      </c>
      <c r="AY93">
        <v>23.999999999999801</v>
      </c>
      <c r="AZ93">
        <v>14.400000000000009</v>
      </c>
      <c r="BA93">
        <v>33.599999999999511</v>
      </c>
      <c r="BB93">
        <v>23.999999999999758</v>
      </c>
      <c r="BC93">
        <v>6.8999999999997979</v>
      </c>
      <c r="BD93">
        <v>10.31999999999999</v>
      </c>
      <c r="BE93">
        <v>5.8800000000000079</v>
      </c>
      <c r="BF93">
        <v>0.9</v>
      </c>
    </row>
    <row r="94" spans="1:58" x14ac:dyDescent="0.2">
      <c r="A94">
        <v>324</v>
      </c>
      <c r="B94">
        <v>47.5</v>
      </c>
      <c r="C94">
        <v>208.33333333333329</v>
      </c>
      <c r="D94">
        <v>250</v>
      </c>
      <c r="E94">
        <v>208.33333333333329</v>
      </c>
      <c r="F94">
        <f t="shared" si="12"/>
        <v>458.33333333333326</v>
      </c>
      <c r="G94">
        <f t="shared" si="12"/>
        <v>458.33333333333326</v>
      </c>
      <c r="H94">
        <v>833.33333333333337</v>
      </c>
      <c r="I94">
        <v>0.1315789473684211</v>
      </c>
      <c r="J94">
        <v>0.26315789473684209</v>
      </c>
      <c r="K94">
        <v>0.1315789473684211</v>
      </c>
      <c r="L94">
        <f t="shared" si="13"/>
        <v>0.39473684210526316</v>
      </c>
      <c r="M94">
        <f t="shared" si="14"/>
        <v>0.39473684210526316</v>
      </c>
      <c r="N94">
        <v>0.52631578947368429</v>
      </c>
      <c r="O94">
        <f t="shared" si="15"/>
        <v>8.1578947368421098E-2</v>
      </c>
      <c r="P94">
        <f t="shared" si="16"/>
        <v>8.6842105263157887E-2</v>
      </c>
      <c r="Q94">
        <f t="shared" si="17"/>
        <v>3.1578947368421095E-2</v>
      </c>
      <c r="R94">
        <f t="shared" si="17"/>
        <v>5.2631578947368585E-3</v>
      </c>
      <c r="S94">
        <f t="shared" si="18"/>
        <v>5.5263157894736847E-2</v>
      </c>
      <c r="T94">
        <f t="shared" si="19"/>
        <v>2.6315789473684292E-2</v>
      </c>
      <c r="U94">
        <f t="shared" si="20"/>
        <v>8.5718407762643917E-2</v>
      </c>
      <c r="V94">
        <f t="shared" si="21"/>
        <v>0.1232635624066355</v>
      </c>
      <c r="W94">
        <f t="shared" si="22"/>
        <v>6.1434829104888213E-2</v>
      </c>
      <c r="X94">
        <v>0</v>
      </c>
      <c r="Y94">
        <v>106.8</v>
      </c>
      <c r="Z94">
        <v>43.2</v>
      </c>
      <c r="AA94">
        <v>58.8</v>
      </c>
      <c r="AB94">
        <v>0</v>
      </c>
      <c r="AC94">
        <v>0</v>
      </c>
      <c r="AD94">
        <v>0</v>
      </c>
      <c r="AE94">
        <v>0</v>
      </c>
      <c r="AF94">
        <v>23.99999999999952</v>
      </c>
      <c r="AG94">
        <v>63.15789473684211</v>
      </c>
      <c r="AH94">
        <v>87.157894736841627</v>
      </c>
      <c r="AI94">
        <v>1.7263157894737069</v>
      </c>
      <c r="AJ94">
        <v>19.393783933518019</v>
      </c>
      <c r="AK94">
        <v>15.67874792243768</v>
      </c>
      <c r="AL94">
        <v>0.12631578947368399</v>
      </c>
      <c r="AM94">
        <v>36.925163434903091</v>
      </c>
      <c r="AN94">
        <v>180</v>
      </c>
      <c r="AO94">
        <v>0</v>
      </c>
      <c r="AP94">
        <v>13.591578947368459</v>
      </c>
      <c r="AQ94">
        <v>16.21894736842102</v>
      </c>
      <c r="AR94">
        <v>0.18947368421043689</v>
      </c>
      <c r="AS94">
        <v>2.5894736842099522</v>
      </c>
      <c r="AT94">
        <v>10.97684210526325</v>
      </c>
      <c r="AU94">
        <v>4.4336842105261489</v>
      </c>
      <c r="AV94">
        <v>0</v>
      </c>
      <c r="AW94">
        <v>29.999999999999918</v>
      </c>
      <c r="AX94">
        <v>17.99999999999935</v>
      </c>
      <c r="AY94">
        <v>23.999999999999641</v>
      </c>
      <c r="AZ94">
        <v>29.999999999999972</v>
      </c>
      <c r="BA94">
        <v>17.999999999999329</v>
      </c>
      <c r="BB94">
        <v>23.999999999999648</v>
      </c>
      <c r="BC94">
        <v>1.2947368421049761</v>
      </c>
      <c r="BD94">
        <v>12.28421052631586</v>
      </c>
      <c r="BE94">
        <v>10.326315789473581</v>
      </c>
      <c r="BF94">
        <v>9.4736842105218474E-2</v>
      </c>
    </row>
    <row r="95" spans="1:58" x14ac:dyDescent="0.2">
      <c r="A95">
        <v>324</v>
      </c>
      <c r="B95">
        <v>45</v>
      </c>
      <c r="C95">
        <v>208.33333333333329</v>
      </c>
      <c r="D95">
        <v>250</v>
      </c>
      <c r="E95">
        <v>208.33333333333329</v>
      </c>
      <c r="F95">
        <f t="shared" si="12"/>
        <v>458.33333333333326</v>
      </c>
      <c r="G95">
        <f t="shared" si="12"/>
        <v>458.33333333333326</v>
      </c>
      <c r="H95">
        <v>833.33333333333337</v>
      </c>
      <c r="I95">
        <v>0.1388888888888889</v>
      </c>
      <c r="J95">
        <v>0.27777777777777779</v>
      </c>
      <c r="K95">
        <v>0.1388888888888889</v>
      </c>
      <c r="L95">
        <f t="shared" si="13"/>
        <v>0.41666666666666669</v>
      </c>
      <c r="M95">
        <f t="shared" si="14"/>
        <v>0.41666666666666669</v>
      </c>
      <c r="N95">
        <v>0.55555555555555558</v>
      </c>
      <c r="O95">
        <f t="shared" si="15"/>
        <v>8.8888888888888892E-2</v>
      </c>
      <c r="P95">
        <f t="shared" si="16"/>
        <v>7.2222222222222188E-2</v>
      </c>
      <c r="Q95">
        <f t="shared" si="17"/>
        <v>3.888888888888889E-2</v>
      </c>
      <c r="R95">
        <f t="shared" si="17"/>
        <v>0</v>
      </c>
      <c r="S95">
        <f t="shared" si="18"/>
        <v>3.3333333333333326E-2</v>
      </c>
      <c r="T95">
        <f t="shared" si="19"/>
        <v>5.555555555555558E-2</v>
      </c>
      <c r="U95">
        <f t="shared" si="20"/>
        <v>0.10482201257840673</v>
      </c>
      <c r="V95">
        <f t="shared" si="21"/>
        <v>0.12095300587265133</v>
      </c>
      <c r="W95">
        <f t="shared" si="22"/>
        <v>6.4788354387170025E-2</v>
      </c>
      <c r="X95">
        <v>0</v>
      </c>
      <c r="Y95">
        <v>2.4</v>
      </c>
      <c r="Z95">
        <v>49.2</v>
      </c>
      <c r="AA95">
        <v>64.8</v>
      </c>
      <c r="AB95">
        <v>0</v>
      </c>
      <c r="AC95">
        <v>0</v>
      </c>
      <c r="AD95">
        <v>0</v>
      </c>
      <c r="AE95">
        <v>0</v>
      </c>
      <c r="AF95">
        <v>23.999999999999471</v>
      </c>
      <c r="AG95">
        <v>66.666666666666671</v>
      </c>
      <c r="AH95">
        <v>90.666666666666146</v>
      </c>
      <c r="AI95">
        <v>14.511111111111109</v>
      </c>
      <c r="AJ95">
        <v>16.300938271604942</v>
      </c>
      <c r="AK95">
        <v>5.4981234567901263</v>
      </c>
      <c r="AL95">
        <v>0.71111111111110381</v>
      </c>
      <c r="AM95">
        <v>37.021283950617267</v>
      </c>
      <c r="AN95">
        <v>180</v>
      </c>
      <c r="AO95">
        <v>0</v>
      </c>
      <c r="AP95">
        <v>1.8133333333333821</v>
      </c>
      <c r="AQ95">
        <v>1.919999999999952</v>
      </c>
      <c r="AR95">
        <v>1.0666666666666671</v>
      </c>
      <c r="AS95">
        <v>19.066666666666261</v>
      </c>
      <c r="AT95">
        <v>19.1733333333334</v>
      </c>
      <c r="AU95">
        <v>4.960000000000016</v>
      </c>
      <c r="AV95">
        <v>0</v>
      </c>
      <c r="AW95">
        <v>4.8</v>
      </c>
      <c r="AX95">
        <v>43.199999999999683</v>
      </c>
      <c r="AY95">
        <v>23.99999999999984</v>
      </c>
      <c r="AZ95">
        <v>4.7999999999998408</v>
      </c>
      <c r="BA95">
        <v>43.199999999999122</v>
      </c>
      <c r="BB95">
        <v>23.999999999999481</v>
      </c>
      <c r="BC95">
        <v>9.5333333333331307</v>
      </c>
      <c r="BD95">
        <v>10.493333333333389</v>
      </c>
      <c r="BE95">
        <v>3.439999999999984</v>
      </c>
      <c r="BF95">
        <v>0.53333333333333333</v>
      </c>
    </row>
    <row r="96" spans="1:58" x14ac:dyDescent="0.2">
      <c r="A96">
        <v>324</v>
      </c>
      <c r="B96">
        <v>42.5</v>
      </c>
      <c r="C96">
        <v>208.33333333333329</v>
      </c>
      <c r="D96">
        <v>250</v>
      </c>
      <c r="E96">
        <v>208.33333333333329</v>
      </c>
      <c r="F96">
        <f t="shared" si="12"/>
        <v>458.33333333333326</v>
      </c>
      <c r="G96">
        <f t="shared" si="12"/>
        <v>458.33333333333326</v>
      </c>
      <c r="H96">
        <v>833.33333333333337</v>
      </c>
      <c r="I96">
        <v>0.1470588235294118</v>
      </c>
      <c r="J96">
        <v>0.29411764705882348</v>
      </c>
      <c r="K96">
        <v>0.1470588235294118</v>
      </c>
      <c r="L96">
        <f t="shared" si="13"/>
        <v>0.44117647058823528</v>
      </c>
      <c r="M96">
        <f t="shared" si="14"/>
        <v>0.44117647058823528</v>
      </c>
      <c r="N96">
        <v>0.58823529411764708</v>
      </c>
      <c r="O96">
        <f t="shared" si="15"/>
        <v>9.7058823529411795E-2</v>
      </c>
      <c r="P96">
        <f t="shared" si="16"/>
        <v>5.5882352941176494E-2</v>
      </c>
      <c r="Q96">
        <f t="shared" si="17"/>
        <v>4.7058823529411792E-2</v>
      </c>
      <c r="R96">
        <f t="shared" si="17"/>
        <v>0</v>
      </c>
      <c r="S96">
        <f t="shared" si="18"/>
        <v>8.82352941176473E-3</v>
      </c>
      <c r="T96">
        <f t="shared" si="19"/>
        <v>8.8235294117647078E-2</v>
      </c>
      <c r="U96">
        <f t="shared" si="20"/>
        <v>0.13117119482928097</v>
      </c>
      <c r="V96">
        <f t="shared" si="21"/>
        <v>0.12148162604743171</v>
      </c>
      <c r="W96">
        <f t="shared" si="22"/>
        <v>8.8675373127537288E-2</v>
      </c>
      <c r="X96">
        <v>0</v>
      </c>
      <c r="Y96">
        <v>2.4</v>
      </c>
      <c r="Z96">
        <v>61.2</v>
      </c>
      <c r="AA96">
        <v>76.8</v>
      </c>
      <c r="AB96">
        <v>0</v>
      </c>
      <c r="AC96">
        <v>0</v>
      </c>
      <c r="AD96">
        <v>0</v>
      </c>
      <c r="AE96">
        <v>0</v>
      </c>
      <c r="AF96">
        <v>23.999999999999499</v>
      </c>
      <c r="AG96">
        <v>70.588235294117652</v>
      </c>
      <c r="AH96">
        <v>94.58823529411714</v>
      </c>
      <c r="AI96">
        <v>16.388235294117639</v>
      </c>
      <c r="AJ96">
        <v>6.5666020761245631</v>
      </c>
      <c r="AK96">
        <v>14.241051903114201</v>
      </c>
      <c r="AL96">
        <v>1.364705882352931</v>
      </c>
      <c r="AM96">
        <v>38.560595155709343</v>
      </c>
      <c r="AN96">
        <v>180</v>
      </c>
      <c r="AO96">
        <v>0</v>
      </c>
      <c r="AP96">
        <v>2.597647058823592</v>
      </c>
      <c r="AQ96">
        <v>12.15529411764712</v>
      </c>
      <c r="AR96">
        <v>2.047058823529369</v>
      </c>
      <c r="AS96">
        <v>20.047058823528719</v>
      </c>
      <c r="AT96">
        <v>5.6047058823529774</v>
      </c>
      <c r="AU96">
        <v>5.5482352941176538</v>
      </c>
      <c r="AV96">
        <v>0</v>
      </c>
      <c r="AW96">
        <v>16.800000000000079</v>
      </c>
      <c r="AX96">
        <v>31.199999999999349</v>
      </c>
      <c r="AY96">
        <v>23.999999999999719</v>
      </c>
      <c r="AZ96">
        <v>16.799999999999908</v>
      </c>
      <c r="BA96">
        <v>31.199999999999111</v>
      </c>
      <c r="BB96">
        <v>23.99999999999951</v>
      </c>
      <c r="BC96">
        <v>10.023529411764359</v>
      </c>
      <c r="BD96">
        <v>4.1011764705882836</v>
      </c>
      <c r="BE96">
        <v>8.8517647058823865</v>
      </c>
      <c r="BF96">
        <v>1.023529411764684</v>
      </c>
    </row>
    <row r="97" spans="1:58" x14ac:dyDescent="0.2">
      <c r="A97">
        <v>324</v>
      </c>
      <c r="B97">
        <v>40</v>
      </c>
      <c r="C97">
        <v>208.33333333333329</v>
      </c>
      <c r="D97">
        <v>250</v>
      </c>
      <c r="E97">
        <v>208.33333333333329</v>
      </c>
      <c r="F97">
        <f t="shared" si="12"/>
        <v>458.33333333333326</v>
      </c>
      <c r="G97">
        <f t="shared" si="12"/>
        <v>458.33333333333326</v>
      </c>
      <c r="H97">
        <v>833.33333333333337</v>
      </c>
      <c r="I97">
        <v>0.15625</v>
      </c>
      <c r="J97">
        <v>0.31250000000000011</v>
      </c>
      <c r="K97">
        <v>0.15625</v>
      </c>
      <c r="L97">
        <f t="shared" si="13"/>
        <v>0.46875000000000011</v>
      </c>
      <c r="M97">
        <f t="shared" si="14"/>
        <v>0.46875000000000011</v>
      </c>
      <c r="N97">
        <v>0.62500000000000011</v>
      </c>
      <c r="O97">
        <f t="shared" si="15"/>
        <v>0.10625</v>
      </c>
      <c r="P97">
        <f t="shared" si="16"/>
        <v>3.7499999999999867E-2</v>
      </c>
      <c r="Q97">
        <f t="shared" si="17"/>
        <v>5.6249999999999994E-2</v>
      </c>
      <c r="R97">
        <f t="shared" si="17"/>
        <v>0</v>
      </c>
      <c r="S97">
        <f t="shared" si="18"/>
        <v>0</v>
      </c>
      <c r="T97">
        <f t="shared" si="19"/>
        <v>0.12500000000000011</v>
      </c>
      <c r="U97">
        <f t="shared" si="20"/>
        <v>0.16405505935508366</v>
      </c>
      <c r="V97">
        <f t="shared" si="21"/>
        <v>0.12593401049756173</v>
      </c>
      <c r="W97">
        <f t="shared" si="22"/>
        <v>0.12500000000000011</v>
      </c>
      <c r="X97">
        <v>0</v>
      </c>
      <c r="Y97">
        <v>4.8</v>
      </c>
      <c r="Z97">
        <v>55.2</v>
      </c>
      <c r="AA97">
        <v>62.4</v>
      </c>
      <c r="AB97">
        <v>0</v>
      </c>
      <c r="AC97">
        <v>0</v>
      </c>
      <c r="AD97">
        <v>0</v>
      </c>
      <c r="AE97">
        <v>0</v>
      </c>
      <c r="AF97">
        <v>23.999999999999591</v>
      </c>
      <c r="AG97">
        <v>75</v>
      </c>
      <c r="AH97">
        <v>98.999999999999602</v>
      </c>
      <c r="AI97">
        <v>19.300000000000018</v>
      </c>
      <c r="AJ97">
        <v>8.3855625000000149</v>
      </c>
      <c r="AK97">
        <v>1.9048749999999981</v>
      </c>
      <c r="AL97">
        <v>9.4750000000000121</v>
      </c>
      <c r="AM97">
        <v>39.065437500000037</v>
      </c>
      <c r="AN97">
        <v>180</v>
      </c>
      <c r="AO97">
        <v>0</v>
      </c>
      <c r="AP97">
        <v>1.560000000000016</v>
      </c>
      <c r="AQ97">
        <v>1.289999999999984</v>
      </c>
      <c r="AR97">
        <v>11.55</v>
      </c>
      <c r="AS97">
        <v>23.549999999999681</v>
      </c>
      <c r="AT97">
        <v>8.879999999999967</v>
      </c>
      <c r="AU97">
        <v>1.1699999999998709</v>
      </c>
      <c r="AV97">
        <v>0</v>
      </c>
      <c r="AW97">
        <v>14.4</v>
      </c>
      <c r="AX97">
        <v>33.599999999999511</v>
      </c>
      <c r="AY97">
        <v>23.999999999999751</v>
      </c>
      <c r="AZ97">
        <v>14.400000000000009</v>
      </c>
      <c r="BA97">
        <v>33.599999999999511</v>
      </c>
      <c r="BB97">
        <v>23.999999999999758</v>
      </c>
      <c r="BC97">
        <v>11.77499999999984</v>
      </c>
      <c r="BD97">
        <v>5.2199999999999918</v>
      </c>
      <c r="BE97">
        <v>1.2299999999999269</v>
      </c>
      <c r="BF97">
        <v>5.7750000000000004</v>
      </c>
    </row>
    <row r="98" spans="1:58" x14ac:dyDescent="0.2">
      <c r="A98">
        <v>324</v>
      </c>
      <c r="B98">
        <v>37.5</v>
      </c>
      <c r="C98">
        <v>208.33333333333329</v>
      </c>
      <c r="D98">
        <v>250</v>
      </c>
      <c r="E98">
        <v>208.33333333333329</v>
      </c>
      <c r="F98">
        <f t="shared" ref="F98:G129" si="23">C98+D98</f>
        <v>458.33333333333326</v>
      </c>
      <c r="G98">
        <f t="shared" si="23"/>
        <v>458.33333333333326</v>
      </c>
      <c r="H98">
        <v>833.33333333333337</v>
      </c>
      <c r="I98">
        <v>0.16666666666666671</v>
      </c>
      <c r="J98">
        <v>0.33333333333333343</v>
      </c>
      <c r="K98">
        <v>0.16666666666666671</v>
      </c>
      <c r="L98">
        <f t="shared" si="13"/>
        <v>0.50000000000000011</v>
      </c>
      <c r="M98">
        <f t="shared" si="14"/>
        <v>0.50000000000000011</v>
      </c>
      <c r="N98">
        <v>0.66666666666666674</v>
      </c>
      <c r="O98">
        <f t="shared" si="15"/>
        <v>0.11666666666666671</v>
      </c>
      <c r="P98">
        <f t="shared" si="16"/>
        <v>1.6666666666666552E-2</v>
      </c>
      <c r="Q98">
        <f t="shared" si="17"/>
        <v>6.6666666666666707E-2</v>
      </c>
      <c r="R98">
        <f t="shared" si="17"/>
        <v>0</v>
      </c>
      <c r="S98">
        <f t="shared" si="18"/>
        <v>0</v>
      </c>
      <c r="T98">
        <f t="shared" si="19"/>
        <v>0.16666666666666674</v>
      </c>
      <c r="U98">
        <f t="shared" si="20"/>
        <v>0.2034425935955618</v>
      </c>
      <c r="V98">
        <f t="shared" si="21"/>
        <v>0.13540064007726604</v>
      </c>
      <c r="W98">
        <f t="shared" si="22"/>
        <v>0.16666666666666674</v>
      </c>
      <c r="X98">
        <v>0</v>
      </c>
      <c r="Y98">
        <v>2.4</v>
      </c>
      <c r="Z98">
        <v>55.2</v>
      </c>
      <c r="AA98">
        <v>64.8</v>
      </c>
      <c r="AB98">
        <v>0</v>
      </c>
      <c r="AC98">
        <v>0</v>
      </c>
      <c r="AD98">
        <v>0</v>
      </c>
      <c r="AE98">
        <v>0</v>
      </c>
      <c r="AF98">
        <v>23.99999999999962</v>
      </c>
      <c r="AG98">
        <v>80.000000000000014</v>
      </c>
      <c r="AH98">
        <v>103.9999999999996</v>
      </c>
      <c r="AI98">
        <v>18.133333333333361</v>
      </c>
      <c r="AJ98">
        <v>7.7831111111111237</v>
      </c>
      <c r="AK98">
        <v>4.2791111111111171</v>
      </c>
      <c r="AL98">
        <v>8.5333333333333279</v>
      </c>
      <c r="AM98">
        <v>38.728888888888918</v>
      </c>
      <c r="AN98">
        <v>180</v>
      </c>
      <c r="AO98">
        <v>0</v>
      </c>
      <c r="AP98">
        <v>4.4800000000000484</v>
      </c>
      <c r="AQ98">
        <v>1.9200000000001129</v>
      </c>
      <c r="AR98">
        <v>10.399999999999681</v>
      </c>
      <c r="AS98">
        <v>22.399999999999679</v>
      </c>
      <c r="AT98">
        <v>5.4399999999999844</v>
      </c>
      <c r="AU98">
        <v>3.3600000000000159</v>
      </c>
      <c r="AV98">
        <v>0</v>
      </c>
      <c r="AW98">
        <v>16.799999999999841</v>
      </c>
      <c r="AX98">
        <v>31.19999999999968</v>
      </c>
      <c r="AY98">
        <v>23.999999999999758</v>
      </c>
      <c r="AZ98">
        <v>16.799999999999841</v>
      </c>
      <c r="BA98">
        <v>31.19999999999952</v>
      </c>
      <c r="BB98">
        <v>23.99999999999968</v>
      </c>
      <c r="BC98">
        <v>11.199999999999839</v>
      </c>
      <c r="BD98">
        <v>4.960000000000016</v>
      </c>
      <c r="BE98">
        <v>2.640000000000065</v>
      </c>
      <c r="BF98">
        <v>5.1999999999998394</v>
      </c>
    </row>
    <row r="99" spans="1:58" x14ac:dyDescent="0.2">
      <c r="A99">
        <v>324</v>
      </c>
      <c r="B99">
        <v>35</v>
      </c>
      <c r="C99">
        <v>208.33333333333329</v>
      </c>
      <c r="D99">
        <v>250</v>
      </c>
      <c r="E99">
        <v>208.33333333333329</v>
      </c>
      <c r="F99">
        <f t="shared" si="23"/>
        <v>458.33333333333326</v>
      </c>
      <c r="G99">
        <f t="shared" si="23"/>
        <v>458.33333333333326</v>
      </c>
      <c r="H99">
        <v>833.33333333333337</v>
      </c>
      <c r="I99">
        <v>0.1785714285714286</v>
      </c>
      <c r="J99">
        <v>0.35714285714285721</v>
      </c>
      <c r="K99">
        <v>0.1785714285714286</v>
      </c>
      <c r="L99">
        <f t="shared" si="13"/>
        <v>0.53571428571428581</v>
      </c>
      <c r="M99">
        <f t="shared" si="14"/>
        <v>0.53571428571428581</v>
      </c>
      <c r="N99">
        <v>0.7142857142857143</v>
      </c>
      <c r="O99">
        <f t="shared" si="15"/>
        <v>0.12857142857142861</v>
      </c>
      <c r="P99">
        <f t="shared" si="16"/>
        <v>0</v>
      </c>
      <c r="Q99">
        <f t="shared" si="17"/>
        <v>7.8571428571428598E-2</v>
      </c>
      <c r="R99">
        <f t="shared" si="17"/>
        <v>0</v>
      </c>
      <c r="S99">
        <f t="shared" si="18"/>
        <v>0</v>
      </c>
      <c r="T99">
        <f t="shared" si="19"/>
        <v>0.2142857142857143</v>
      </c>
      <c r="U99">
        <f t="shared" si="20"/>
        <v>0.24989793835051291</v>
      </c>
      <c r="V99">
        <f t="shared" si="21"/>
        <v>0.15067873649806424</v>
      </c>
      <c r="W99">
        <f t="shared" si="22"/>
        <v>0.2142857142857143</v>
      </c>
      <c r="X99">
        <v>0</v>
      </c>
      <c r="Y99">
        <v>0</v>
      </c>
      <c r="Z99">
        <v>54</v>
      </c>
      <c r="AA99">
        <v>56.4</v>
      </c>
      <c r="AB99">
        <v>0</v>
      </c>
      <c r="AC99">
        <v>0</v>
      </c>
      <c r="AD99">
        <v>0</v>
      </c>
      <c r="AE99">
        <v>0</v>
      </c>
      <c r="AF99">
        <v>25.714285714285651</v>
      </c>
      <c r="AG99">
        <v>85.714285714285722</v>
      </c>
      <c r="AH99">
        <v>111.4285714285714</v>
      </c>
      <c r="AI99">
        <v>18.428571428571459</v>
      </c>
      <c r="AJ99">
        <v>6.2857142857142954</v>
      </c>
      <c r="AK99">
        <v>1.459183673469387</v>
      </c>
      <c r="AL99">
        <v>16.683673469387781</v>
      </c>
      <c r="AM99">
        <v>42.857142857142918</v>
      </c>
      <c r="AN99">
        <v>180</v>
      </c>
      <c r="AO99">
        <v>0</v>
      </c>
      <c r="AP99">
        <v>7.5428571428571658</v>
      </c>
      <c r="AQ99">
        <v>1.7510204081632159</v>
      </c>
      <c r="AR99">
        <v>20.02040816326512</v>
      </c>
      <c r="AS99">
        <v>22.114285714285831</v>
      </c>
      <c r="AT99">
        <v>0</v>
      </c>
      <c r="AU99">
        <v>0</v>
      </c>
      <c r="AV99">
        <v>0</v>
      </c>
      <c r="AW99">
        <v>29.3142857142855</v>
      </c>
      <c r="AX99">
        <v>22.114285714285831</v>
      </c>
      <c r="AY99">
        <v>25.714285714285669</v>
      </c>
      <c r="AZ99">
        <v>29.314285714285688</v>
      </c>
      <c r="BA99">
        <v>22.114285714285611</v>
      </c>
      <c r="BB99">
        <v>25.714285714285651</v>
      </c>
      <c r="BC99">
        <v>11.057142857142919</v>
      </c>
      <c r="BD99">
        <v>3.7714285714285829</v>
      </c>
      <c r="BE99">
        <v>0.87551020408160796</v>
      </c>
      <c r="BF99">
        <v>10.01020408163256</v>
      </c>
    </row>
    <row r="100" spans="1:58" x14ac:dyDescent="0.2">
      <c r="A100">
        <v>324</v>
      </c>
      <c r="B100">
        <v>32.5</v>
      </c>
      <c r="C100">
        <v>208.33333333333329</v>
      </c>
      <c r="D100">
        <v>250</v>
      </c>
      <c r="E100">
        <v>208.33333333333329</v>
      </c>
      <c r="F100">
        <f t="shared" si="23"/>
        <v>458.33333333333326</v>
      </c>
      <c r="G100">
        <f t="shared" si="23"/>
        <v>458.33333333333326</v>
      </c>
      <c r="H100">
        <v>833.33333333333337</v>
      </c>
      <c r="I100">
        <v>0.19230769230769229</v>
      </c>
      <c r="J100">
        <v>0.38461538461538458</v>
      </c>
      <c r="K100">
        <v>0.19230769230769229</v>
      </c>
      <c r="L100">
        <f t="shared" si="13"/>
        <v>0.57692307692307687</v>
      </c>
      <c r="M100">
        <f t="shared" si="14"/>
        <v>0.57692307692307687</v>
      </c>
      <c r="N100">
        <v>0.76923076923076927</v>
      </c>
      <c r="O100">
        <f t="shared" si="15"/>
        <v>0.1423076923076923</v>
      </c>
      <c r="P100">
        <f t="shared" si="16"/>
        <v>0</v>
      </c>
      <c r="Q100">
        <f t="shared" si="17"/>
        <v>9.2307692307692285E-2</v>
      </c>
      <c r="R100">
        <f t="shared" si="17"/>
        <v>0</v>
      </c>
      <c r="S100">
        <f t="shared" si="18"/>
        <v>2.6923076923076827E-2</v>
      </c>
      <c r="T100">
        <f t="shared" si="19"/>
        <v>0.23076923076923073</v>
      </c>
      <c r="U100">
        <f t="shared" si="20"/>
        <v>0.27111974690118623</v>
      </c>
      <c r="V100">
        <f t="shared" si="21"/>
        <v>0.16962366977846111</v>
      </c>
      <c r="W100">
        <f t="shared" si="22"/>
        <v>0.23233443554675312</v>
      </c>
      <c r="X100">
        <v>0</v>
      </c>
      <c r="Y100">
        <v>94.8</v>
      </c>
      <c r="Z100">
        <v>25.2</v>
      </c>
      <c r="AA100">
        <v>25.2</v>
      </c>
      <c r="AB100">
        <v>0</v>
      </c>
      <c r="AC100">
        <v>0</v>
      </c>
      <c r="AD100">
        <v>0</v>
      </c>
      <c r="AE100">
        <v>0</v>
      </c>
      <c r="AF100">
        <v>27.692307692307669</v>
      </c>
      <c r="AG100">
        <v>92.307692307692321</v>
      </c>
      <c r="AH100">
        <v>120</v>
      </c>
      <c r="AI100">
        <v>1.7692307692307589</v>
      </c>
      <c r="AJ100">
        <v>24.492307692307701</v>
      </c>
      <c r="AK100">
        <v>2.1394082840236779</v>
      </c>
      <c r="AL100">
        <v>17.752899408283959</v>
      </c>
      <c r="AM100">
        <v>46.153846153846096</v>
      </c>
      <c r="AN100">
        <v>180</v>
      </c>
      <c r="AO100">
        <v>0</v>
      </c>
      <c r="AP100">
        <v>29.021538461538469</v>
      </c>
      <c r="AQ100">
        <v>2.567289940828374</v>
      </c>
      <c r="AR100">
        <v>21.30347928994096</v>
      </c>
      <c r="AS100">
        <v>2.1230769230770719</v>
      </c>
      <c r="AT100">
        <v>0.36923076923081283</v>
      </c>
      <c r="AU100">
        <v>0</v>
      </c>
      <c r="AV100">
        <v>0</v>
      </c>
      <c r="AW100">
        <v>52.89230769230781</v>
      </c>
      <c r="AX100">
        <v>2.4923076923078851</v>
      </c>
      <c r="AY100">
        <v>27.69230769230785</v>
      </c>
      <c r="AZ100">
        <v>52.892307692307703</v>
      </c>
      <c r="BA100">
        <v>2.4923076923077052</v>
      </c>
      <c r="BB100">
        <v>27.692307692307701</v>
      </c>
      <c r="BC100">
        <v>1.0615384615385359</v>
      </c>
      <c r="BD100">
        <v>14.69538461538464</v>
      </c>
      <c r="BE100">
        <v>1.283644970414187</v>
      </c>
      <c r="BF100">
        <v>10.65173964497048</v>
      </c>
    </row>
    <row r="101" spans="1:58" x14ac:dyDescent="0.2">
      <c r="A101">
        <v>324</v>
      </c>
      <c r="B101">
        <v>30</v>
      </c>
      <c r="C101">
        <v>208.33333333333329</v>
      </c>
      <c r="D101">
        <v>250</v>
      </c>
      <c r="E101">
        <v>208.33333333333329</v>
      </c>
      <c r="F101">
        <f t="shared" si="23"/>
        <v>458.33333333333326</v>
      </c>
      <c r="G101">
        <f t="shared" si="23"/>
        <v>458.33333333333326</v>
      </c>
      <c r="H101">
        <v>833.33333333333337</v>
      </c>
      <c r="I101">
        <v>0.20833333333333329</v>
      </c>
      <c r="J101">
        <v>0.41666666666666669</v>
      </c>
      <c r="K101">
        <v>0.20833333333333329</v>
      </c>
      <c r="L101">
        <f t="shared" si="13"/>
        <v>0.625</v>
      </c>
      <c r="M101">
        <f t="shared" si="14"/>
        <v>0.625</v>
      </c>
      <c r="N101">
        <v>0.83333333333333337</v>
      </c>
      <c r="O101">
        <f t="shared" si="15"/>
        <v>0.15833333333333327</v>
      </c>
      <c r="P101">
        <f t="shared" si="16"/>
        <v>0</v>
      </c>
      <c r="Q101">
        <f t="shared" si="17"/>
        <v>0.10833333333333328</v>
      </c>
      <c r="R101">
        <f t="shared" si="17"/>
        <v>2.5000000000000022E-2</v>
      </c>
      <c r="S101">
        <f t="shared" si="18"/>
        <v>7.4999999999999956E-2</v>
      </c>
      <c r="T101">
        <f t="shared" si="19"/>
        <v>0.16666666666666663</v>
      </c>
      <c r="U101">
        <f t="shared" si="20"/>
        <v>0.2298852370688953</v>
      </c>
      <c r="V101">
        <f t="shared" si="21"/>
        <v>0.19184774055368889</v>
      </c>
      <c r="W101">
        <f t="shared" si="22"/>
        <v>0.18446619684315541</v>
      </c>
      <c r="X101">
        <v>0</v>
      </c>
      <c r="Y101">
        <v>9.6</v>
      </c>
      <c r="Z101">
        <v>68.399999999999991</v>
      </c>
      <c r="AA101">
        <v>94.8</v>
      </c>
      <c r="AB101">
        <v>0</v>
      </c>
      <c r="AC101">
        <v>0</v>
      </c>
      <c r="AD101">
        <v>0</v>
      </c>
      <c r="AE101">
        <v>0</v>
      </c>
      <c r="AF101">
        <v>27.99999999999984</v>
      </c>
      <c r="AG101">
        <v>100</v>
      </c>
      <c r="AH101">
        <v>127.9999999999998</v>
      </c>
      <c r="AI101">
        <v>23.286000000000001</v>
      </c>
      <c r="AJ101">
        <v>7.3666666666666352</v>
      </c>
      <c r="AK101">
        <v>14.115555555555559</v>
      </c>
      <c r="AL101">
        <v>1.651111111111135</v>
      </c>
      <c r="AM101">
        <v>46.419333333333327</v>
      </c>
      <c r="AN101">
        <v>180</v>
      </c>
      <c r="AO101">
        <v>0</v>
      </c>
      <c r="AP101">
        <v>2.7200000000000322</v>
      </c>
      <c r="AQ101">
        <v>0.49866666666663761</v>
      </c>
      <c r="AR101">
        <v>1.9813333333334919</v>
      </c>
      <c r="AS101">
        <v>28.239999999999981</v>
      </c>
      <c r="AT101">
        <v>6.1200000000001129</v>
      </c>
      <c r="AU101">
        <v>16.43999999999998</v>
      </c>
      <c r="AV101">
        <v>0</v>
      </c>
      <c r="AW101">
        <v>5.2000000000001609</v>
      </c>
      <c r="AX101">
        <v>50.800000000000082</v>
      </c>
      <c r="AY101">
        <v>28.000000000000121</v>
      </c>
      <c r="AZ101">
        <v>5.2000000000000028</v>
      </c>
      <c r="BA101">
        <v>50.800000000000011</v>
      </c>
      <c r="BB101">
        <v>28.000000000000011</v>
      </c>
      <c r="BC101">
        <v>14.11999999999999</v>
      </c>
      <c r="BD101">
        <v>4.4200000000000728</v>
      </c>
      <c r="BE101">
        <v>8.4693333333333101</v>
      </c>
      <c r="BF101">
        <v>0.99066666666674585</v>
      </c>
    </row>
    <row r="102" spans="1:58" x14ac:dyDescent="0.2">
      <c r="A102">
        <v>324</v>
      </c>
      <c r="B102">
        <v>27.5</v>
      </c>
      <c r="C102">
        <v>208.33333333333329</v>
      </c>
      <c r="D102">
        <v>250</v>
      </c>
      <c r="E102">
        <v>208.33333333333329</v>
      </c>
      <c r="F102">
        <f t="shared" si="23"/>
        <v>458.33333333333326</v>
      </c>
      <c r="G102">
        <f t="shared" si="23"/>
        <v>458.33333333333326</v>
      </c>
      <c r="H102">
        <v>833.33333333333337</v>
      </c>
      <c r="I102">
        <v>0.22727272727272729</v>
      </c>
      <c r="J102">
        <v>0.45454545454545459</v>
      </c>
      <c r="K102">
        <v>0.22727272727272729</v>
      </c>
      <c r="L102">
        <f t="shared" si="13"/>
        <v>0.68181818181818188</v>
      </c>
      <c r="M102">
        <f t="shared" si="14"/>
        <v>0.68181818181818188</v>
      </c>
      <c r="N102">
        <v>0.90909090909090917</v>
      </c>
      <c r="O102">
        <f t="shared" si="15"/>
        <v>0.1772727272727273</v>
      </c>
      <c r="P102">
        <f t="shared" si="16"/>
        <v>0</v>
      </c>
      <c r="Q102">
        <f t="shared" si="17"/>
        <v>0.12727272727272729</v>
      </c>
      <c r="R102">
        <f t="shared" si="17"/>
        <v>8.1818181818181901E-2</v>
      </c>
      <c r="S102">
        <f t="shared" si="18"/>
        <v>0.13181818181818183</v>
      </c>
      <c r="T102">
        <f t="shared" si="19"/>
        <v>9.0909090909090828E-2</v>
      </c>
      <c r="U102">
        <f t="shared" si="20"/>
        <v>0.19922370000737386</v>
      </c>
      <c r="V102">
        <f t="shared" si="21"/>
        <v>0.21822916153014191</v>
      </c>
      <c r="W102">
        <f t="shared" si="22"/>
        <v>0.17981854949865894</v>
      </c>
      <c r="X102">
        <v>0</v>
      </c>
      <c r="Y102">
        <v>0</v>
      </c>
      <c r="Z102">
        <v>54</v>
      </c>
      <c r="AA102">
        <v>84</v>
      </c>
      <c r="AB102">
        <v>0</v>
      </c>
      <c r="AC102">
        <v>0</v>
      </c>
      <c r="AD102">
        <v>0</v>
      </c>
      <c r="AE102">
        <v>0</v>
      </c>
      <c r="AF102">
        <v>37.090909090908617</v>
      </c>
      <c r="AG102">
        <v>109.09090909090909</v>
      </c>
      <c r="AH102">
        <v>146.1818181818177</v>
      </c>
      <c r="AI102">
        <v>18.28429752066112</v>
      </c>
      <c r="AJ102">
        <v>16.090909090909079</v>
      </c>
      <c r="AK102">
        <v>16.63636363636363</v>
      </c>
      <c r="AL102">
        <v>10.72727272727273</v>
      </c>
      <c r="AM102">
        <v>61.738842975206538</v>
      </c>
      <c r="AN102">
        <v>180</v>
      </c>
      <c r="AO102">
        <v>0</v>
      </c>
      <c r="AP102">
        <v>12.21818181818178</v>
      </c>
      <c r="AQ102">
        <v>0</v>
      </c>
      <c r="AR102">
        <v>12.87272727272688</v>
      </c>
      <c r="AS102">
        <v>22.036363636363561</v>
      </c>
      <c r="AT102">
        <v>7.0909090909088262</v>
      </c>
      <c r="AU102">
        <v>19.963636363636279</v>
      </c>
      <c r="AV102">
        <v>0</v>
      </c>
      <c r="AW102">
        <v>25.090909090908671</v>
      </c>
      <c r="AX102">
        <v>49.090909090908667</v>
      </c>
      <c r="AY102">
        <v>37.090909090908667</v>
      </c>
      <c r="AZ102">
        <v>25.090909090908639</v>
      </c>
      <c r="BA102">
        <v>49.090909090908717</v>
      </c>
      <c r="BB102">
        <v>37.090909090908681</v>
      </c>
      <c r="BC102">
        <v>11.01818181818178</v>
      </c>
      <c r="BD102">
        <v>9.6545454545453033</v>
      </c>
      <c r="BE102">
        <v>9.981818181818138</v>
      </c>
      <c r="BF102">
        <v>6.436363636363442</v>
      </c>
    </row>
    <row r="103" spans="1:58" x14ac:dyDescent="0.2">
      <c r="A103">
        <v>324</v>
      </c>
      <c r="B103">
        <v>25</v>
      </c>
      <c r="C103">
        <v>208.33333333333329</v>
      </c>
      <c r="D103">
        <v>250</v>
      </c>
      <c r="E103">
        <v>208.33333333333329</v>
      </c>
      <c r="F103">
        <f t="shared" si="23"/>
        <v>458.33333333333326</v>
      </c>
      <c r="G103">
        <f t="shared" si="23"/>
        <v>458.33333333333326</v>
      </c>
      <c r="H103">
        <v>833.33333333333337</v>
      </c>
      <c r="I103">
        <v>0.25</v>
      </c>
      <c r="J103">
        <v>0.5</v>
      </c>
      <c r="K103">
        <v>0.25</v>
      </c>
      <c r="L103">
        <f t="shared" si="13"/>
        <v>0.75</v>
      </c>
      <c r="M103">
        <f t="shared" si="14"/>
        <v>0.75</v>
      </c>
      <c r="N103">
        <v>1</v>
      </c>
      <c r="O103">
        <f t="shared" si="15"/>
        <v>0.2</v>
      </c>
      <c r="P103">
        <f t="shared" si="16"/>
        <v>0</v>
      </c>
      <c r="Q103">
        <f t="shared" si="17"/>
        <v>0.15</v>
      </c>
      <c r="R103">
        <f t="shared" si="17"/>
        <v>0.15000000000000002</v>
      </c>
      <c r="S103">
        <f t="shared" si="18"/>
        <v>0.19999999999999996</v>
      </c>
      <c r="T103">
        <f t="shared" si="19"/>
        <v>0</v>
      </c>
      <c r="U103">
        <f t="shared" si="20"/>
        <v>0.2</v>
      </c>
      <c r="V103">
        <f t="shared" si="21"/>
        <v>0.25</v>
      </c>
      <c r="W103">
        <f t="shared" si="22"/>
        <v>0.24999999999999997</v>
      </c>
      <c r="X103">
        <v>0</v>
      </c>
      <c r="Y103">
        <v>16.8</v>
      </c>
      <c r="Z103">
        <v>87.6</v>
      </c>
      <c r="AA103">
        <v>118.8</v>
      </c>
      <c r="AB103">
        <v>0</v>
      </c>
      <c r="AC103">
        <v>0</v>
      </c>
      <c r="AD103">
        <v>0</v>
      </c>
      <c r="AE103">
        <v>0</v>
      </c>
      <c r="AF103">
        <v>47.999999999999517</v>
      </c>
      <c r="AG103">
        <v>120</v>
      </c>
      <c r="AH103">
        <v>167.99999999999949</v>
      </c>
      <c r="AI103">
        <v>38.999999999999957</v>
      </c>
      <c r="AJ103">
        <v>22.20000000000001</v>
      </c>
      <c r="AK103">
        <v>18.77999999999999</v>
      </c>
      <c r="AL103">
        <v>1.9999999999998859E-2</v>
      </c>
      <c r="AM103">
        <v>79.999999999999957</v>
      </c>
      <c r="AN103">
        <v>180</v>
      </c>
      <c r="AO103">
        <v>0</v>
      </c>
      <c r="AP103">
        <v>0.960000000000097</v>
      </c>
      <c r="AQ103">
        <v>0.21600000000002589</v>
      </c>
      <c r="AR103">
        <v>2.399999999923037E-2</v>
      </c>
      <c r="AS103">
        <v>46.799999999999841</v>
      </c>
      <c r="AT103">
        <v>25.679999999999801</v>
      </c>
      <c r="AU103">
        <v>22.319999999999951</v>
      </c>
      <c r="AV103">
        <v>0</v>
      </c>
      <c r="AW103">
        <v>1.1999999999993529</v>
      </c>
      <c r="AX103">
        <v>94.799999999999599</v>
      </c>
      <c r="AY103">
        <v>47.999999999999467</v>
      </c>
      <c r="AZ103">
        <v>1.199999999999193</v>
      </c>
      <c r="BA103">
        <v>94.799999999999841</v>
      </c>
      <c r="BB103">
        <v>47.999999999999517</v>
      </c>
      <c r="BC103">
        <v>23.39999999999992</v>
      </c>
      <c r="BD103">
        <v>13.319999999999951</v>
      </c>
      <c r="BE103">
        <v>11.26799999999999</v>
      </c>
      <c r="BF103">
        <v>1.199999999961518E-2</v>
      </c>
    </row>
    <row r="104" spans="1:58" x14ac:dyDescent="0.2">
      <c r="A104">
        <v>324</v>
      </c>
      <c r="B104">
        <v>22.5</v>
      </c>
      <c r="C104">
        <v>208.33333333333329</v>
      </c>
      <c r="D104">
        <v>250</v>
      </c>
      <c r="E104">
        <v>208.33333333333329</v>
      </c>
      <c r="F104">
        <f t="shared" si="23"/>
        <v>458.33333333333326</v>
      </c>
      <c r="G104">
        <f t="shared" si="23"/>
        <v>458.33333333333326</v>
      </c>
      <c r="H104">
        <v>833.33333333333337</v>
      </c>
      <c r="I104">
        <v>0.27777777777777779</v>
      </c>
      <c r="J104">
        <v>0.55555555555555558</v>
      </c>
      <c r="K104">
        <v>0.27777777777777779</v>
      </c>
      <c r="L104">
        <f t="shared" si="13"/>
        <v>0.83333333333333337</v>
      </c>
      <c r="M104">
        <f t="shared" si="14"/>
        <v>0.83333333333333337</v>
      </c>
      <c r="N104">
        <v>1.1111111111111109</v>
      </c>
      <c r="O104">
        <f t="shared" si="15"/>
        <v>0.17222222222222222</v>
      </c>
      <c r="P104">
        <f t="shared" si="16"/>
        <v>0</v>
      </c>
      <c r="Q104">
        <f t="shared" si="17"/>
        <v>0.12222222222222223</v>
      </c>
      <c r="R104">
        <f t="shared" si="17"/>
        <v>6.6666666666666652E-2</v>
      </c>
      <c r="S104">
        <f t="shared" si="18"/>
        <v>0.11666666666666659</v>
      </c>
      <c r="T104">
        <f t="shared" si="19"/>
        <v>0.11111111111111094</v>
      </c>
      <c r="U104">
        <f t="shared" si="20"/>
        <v>0.20495407495218565</v>
      </c>
      <c r="V104">
        <f t="shared" si="21"/>
        <v>0.21118419787498013</v>
      </c>
      <c r="W104">
        <f t="shared" si="22"/>
        <v>0.17435949807194667</v>
      </c>
      <c r="X104">
        <v>0</v>
      </c>
      <c r="Y104">
        <v>9.6</v>
      </c>
      <c r="Z104">
        <v>91.2</v>
      </c>
      <c r="AA104">
        <v>4.8</v>
      </c>
      <c r="AB104">
        <v>0</v>
      </c>
      <c r="AC104">
        <v>0</v>
      </c>
      <c r="AD104">
        <v>0</v>
      </c>
      <c r="AE104">
        <v>0</v>
      </c>
      <c r="AF104">
        <v>41.333333333333158</v>
      </c>
      <c r="AG104">
        <v>133.33333333333329</v>
      </c>
      <c r="AH104">
        <v>174.66666666666649</v>
      </c>
      <c r="AI104">
        <v>29.099259259259231</v>
      </c>
      <c r="AJ104">
        <v>13.70074074074074</v>
      </c>
      <c r="AK104">
        <v>25.4733827160494</v>
      </c>
      <c r="AL104">
        <v>0.18646913580245961</v>
      </c>
      <c r="AM104">
        <v>68.459851851851838</v>
      </c>
      <c r="AN104">
        <v>180</v>
      </c>
      <c r="AO104">
        <v>0</v>
      </c>
      <c r="AP104">
        <v>9.3866666666666188</v>
      </c>
      <c r="AQ104">
        <v>5.2799999999999674</v>
      </c>
      <c r="AR104">
        <v>0.26666666666650501</v>
      </c>
      <c r="AS104">
        <v>34.919111111111278</v>
      </c>
      <c r="AT104">
        <v>7.0542222222222737</v>
      </c>
      <c r="AU104">
        <v>25.759999999999931</v>
      </c>
      <c r="AV104">
        <v>0</v>
      </c>
      <c r="AW104">
        <v>14.93333333333309</v>
      </c>
      <c r="AX104">
        <v>67.733333333333491</v>
      </c>
      <c r="AY104">
        <v>41.333333333333293</v>
      </c>
      <c r="AZ104">
        <v>14.9333333333332</v>
      </c>
      <c r="BA104">
        <v>67.733333333333178</v>
      </c>
      <c r="BB104">
        <v>41.333333333333186</v>
      </c>
      <c r="BC104">
        <v>17.459555555555639</v>
      </c>
      <c r="BD104">
        <v>8.2204444444444462</v>
      </c>
      <c r="BE104">
        <v>15.51999999999995</v>
      </c>
      <c r="BF104">
        <v>0.13333333333325251</v>
      </c>
    </row>
    <row r="105" spans="1:58" x14ac:dyDescent="0.2">
      <c r="A105">
        <v>324</v>
      </c>
      <c r="B105">
        <v>20</v>
      </c>
      <c r="C105">
        <v>208.33333333333329</v>
      </c>
      <c r="D105">
        <v>250</v>
      </c>
      <c r="E105">
        <v>208.33333333333329</v>
      </c>
      <c r="F105">
        <f t="shared" si="23"/>
        <v>458.33333333333326</v>
      </c>
      <c r="G105">
        <f t="shared" si="23"/>
        <v>458.33333333333326</v>
      </c>
      <c r="H105">
        <v>833.33333333333337</v>
      </c>
      <c r="I105">
        <v>0.31250000000000011</v>
      </c>
      <c r="J105">
        <v>0.62500000000000011</v>
      </c>
      <c r="K105">
        <v>0.31250000000000011</v>
      </c>
      <c r="L105">
        <f t="shared" si="13"/>
        <v>0.93750000000000022</v>
      </c>
      <c r="M105">
        <f t="shared" si="14"/>
        <v>0.93750000000000022</v>
      </c>
      <c r="N105">
        <v>1.25</v>
      </c>
      <c r="O105">
        <f t="shared" si="15"/>
        <v>0.1374999999999999</v>
      </c>
      <c r="P105">
        <f t="shared" si="16"/>
        <v>0</v>
      </c>
      <c r="Q105">
        <f t="shared" si="17"/>
        <v>8.7499999999999911E-2</v>
      </c>
      <c r="R105">
        <f t="shared" si="17"/>
        <v>0</v>
      </c>
      <c r="S105">
        <f t="shared" si="18"/>
        <v>1.2499999999999734E-2</v>
      </c>
      <c r="T105">
        <f t="shared" si="19"/>
        <v>0.25</v>
      </c>
      <c r="U105">
        <f t="shared" si="20"/>
        <v>0.28531780526283312</v>
      </c>
      <c r="V105">
        <f t="shared" si="21"/>
        <v>0.16298006013006608</v>
      </c>
      <c r="W105">
        <f t="shared" si="22"/>
        <v>0.25031230493125983</v>
      </c>
      <c r="X105">
        <v>0</v>
      </c>
      <c r="Y105">
        <v>32.4</v>
      </c>
      <c r="Z105">
        <v>88.8</v>
      </c>
      <c r="AA105">
        <v>30</v>
      </c>
      <c r="AB105">
        <v>0</v>
      </c>
      <c r="AC105">
        <v>0</v>
      </c>
      <c r="AD105">
        <v>0</v>
      </c>
      <c r="AE105">
        <v>0</v>
      </c>
      <c r="AF105">
        <v>30</v>
      </c>
      <c r="AG105">
        <v>150</v>
      </c>
      <c r="AH105">
        <v>180</v>
      </c>
      <c r="AI105">
        <v>32.250000000000007</v>
      </c>
      <c r="AJ105">
        <v>0</v>
      </c>
      <c r="AK105">
        <v>17.75</v>
      </c>
      <c r="AL105">
        <v>0</v>
      </c>
      <c r="AM105">
        <v>50.000000000000007</v>
      </c>
      <c r="AN105">
        <v>180</v>
      </c>
      <c r="AO105">
        <v>0</v>
      </c>
      <c r="AP105">
        <v>0</v>
      </c>
      <c r="AQ105">
        <v>0</v>
      </c>
      <c r="AR105">
        <v>0</v>
      </c>
      <c r="AS105">
        <v>38.700000000000003</v>
      </c>
      <c r="AT105">
        <v>0</v>
      </c>
      <c r="AU105">
        <v>21.3</v>
      </c>
      <c r="AV105">
        <v>0</v>
      </c>
      <c r="AW105">
        <v>0</v>
      </c>
      <c r="AX105">
        <v>60</v>
      </c>
      <c r="AY105">
        <v>30</v>
      </c>
      <c r="AZ105">
        <v>0</v>
      </c>
      <c r="BA105">
        <v>60</v>
      </c>
      <c r="BB105">
        <v>30</v>
      </c>
      <c r="BC105">
        <v>19.350000000000001</v>
      </c>
      <c r="BD105">
        <v>0</v>
      </c>
      <c r="BE105">
        <v>10.65</v>
      </c>
      <c r="BF105">
        <v>0</v>
      </c>
    </row>
    <row r="106" spans="1:58" x14ac:dyDescent="0.2">
      <c r="A106">
        <v>331</v>
      </c>
      <c r="B106">
        <v>50</v>
      </c>
      <c r="C106">
        <v>208.33333333333329</v>
      </c>
      <c r="D106">
        <v>250</v>
      </c>
      <c r="E106">
        <v>208.33333333333329</v>
      </c>
      <c r="F106">
        <f t="shared" si="23"/>
        <v>458.33333333333326</v>
      </c>
      <c r="G106">
        <f t="shared" si="23"/>
        <v>458.33333333333326</v>
      </c>
      <c r="H106">
        <v>625</v>
      </c>
      <c r="I106">
        <v>0.125</v>
      </c>
      <c r="J106">
        <v>0.125</v>
      </c>
      <c r="K106">
        <v>0.125</v>
      </c>
      <c r="L106">
        <f t="shared" si="13"/>
        <v>0.25</v>
      </c>
      <c r="M106">
        <f t="shared" si="14"/>
        <v>0.25</v>
      </c>
      <c r="N106">
        <v>0.375</v>
      </c>
      <c r="O106">
        <f t="shared" si="15"/>
        <v>7.4999999999999997E-2</v>
      </c>
      <c r="P106">
        <f t="shared" si="16"/>
        <v>0</v>
      </c>
      <c r="Q106">
        <f t="shared" si="17"/>
        <v>2.4999999999999994E-2</v>
      </c>
      <c r="R106">
        <f t="shared" si="17"/>
        <v>0.15</v>
      </c>
      <c r="S106">
        <f t="shared" si="18"/>
        <v>0.2</v>
      </c>
      <c r="T106">
        <f t="shared" si="19"/>
        <v>0.125</v>
      </c>
      <c r="U106">
        <f t="shared" si="20"/>
        <v>0.1457737973711325</v>
      </c>
      <c r="V106">
        <f t="shared" si="21"/>
        <v>7.9056941504209485E-2</v>
      </c>
      <c r="W106">
        <f t="shared" si="22"/>
        <v>0.27950849718747373</v>
      </c>
      <c r="X106">
        <v>0</v>
      </c>
      <c r="Y106">
        <v>97.2</v>
      </c>
      <c r="Z106">
        <v>68.399999999999991</v>
      </c>
      <c r="AA106">
        <v>85.2</v>
      </c>
      <c r="AB106">
        <v>0</v>
      </c>
      <c r="AC106">
        <v>0</v>
      </c>
      <c r="AD106">
        <v>0</v>
      </c>
      <c r="AE106">
        <v>0</v>
      </c>
      <c r="AF106">
        <v>32.999999999999559</v>
      </c>
      <c r="AG106">
        <v>45</v>
      </c>
      <c r="AH106">
        <v>77.999999999999559</v>
      </c>
      <c r="AI106">
        <v>3.104999999999976</v>
      </c>
      <c r="AJ106">
        <v>18.695000000000011</v>
      </c>
      <c r="AK106">
        <v>19.800000000000029</v>
      </c>
      <c r="AL106">
        <v>12.659000000000001</v>
      </c>
      <c r="AM106">
        <v>54.259000000000007</v>
      </c>
      <c r="AN106">
        <v>180</v>
      </c>
      <c r="AO106">
        <v>0</v>
      </c>
      <c r="AP106">
        <v>20.639999999999979</v>
      </c>
      <c r="AQ106">
        <v>19.07999999999997</v>
      </c>
      <c r="AR106">
        <v>16.07999999999981</v>
      </c>
      <c r="AS106">
        <v>3.7259999999999609</v>
      </c>
      <c r="AT106">
        <v>1.79399999999999</v>
      </c>
      <c r="AU106">
        <v>4.6799999999999677</v>
      </c>
      <c r="AV106">
        <v>0</v>
      </c>
      <c r="AW106">
        <v>55.799999999999763</v>
      </c>
      <c r="AX106">
        <v>10.199999999999919</v>
      </c>
      <c r="AY106">
        <v>32.999999999999837</v>
      </c>
      <c r="AZ106">
        <v>55.79999999999977</v>
      </c>
      <c r="BA106">
        <v>10.19999999999977</v>
      </c>
      <c r="BB106">
        <v>32.999999999999773</v>
      </c>
      <c r="BC106">
        <v>1.8629999999999809</v>
      </c>
      <c r="BD106">
        <v>11.21699999999999</v>
      </c>
      <c r="BE106">
        <v>11.879999999999971</v>
      </c>
      <c r="BF106">
        <v>8.0399999999999032</v>
      </c>
    </row>
    <row r="107" spans="1:58" x14ac:dyDescent="0.2">
      <c r="A107">
        <v>331</v>
      </c>
      <c r="B107">
        <v>47.5</v>
      </c>
      <c r="C107">
        <v>208.33333333333329</v>
      </c>
      <c r="D107">
        <v>250</v>
      </c>
      <c r="E107">
        <v>208.33333333333329</v>
      </c>
      <c r="F107">
        <f t="shared" si="23"/>
        <v>458.33333333333326</v>
      </c>
      <c r="G107">
        <f t="shared" si="23"/>
        <v>458.33333333333326</v>
      </c>
      <c r="H107">
        <v>625</v>
      </c>
      <c r="I107">
        <v>0.1315789473684211</v>
      </c>
      <c r="J107">
        <v>0.1315789473684211</v>
      </c>
      <c r="K107">
        <v>0.1315789473684211</v>
      </c>
      <c r="L107">
        <f t="shared" si="13"/>
        <v>0.2631578947368422</v>
      </c>
      <c r="M107">
        <f t="shared" si="14"/>
        <v>0.2631578947368422</v>
      </c>
      <c r="N107">
        <v>0.39473684210526322</v>
      </c>
      <c r="O107">
        <f t="shared" si="15"/>
        <v>8.1578947368421098E-2</v>
      </c>
      <c r="P107">
        <f t="shared" si="16"/>
        <v>0</v>
      </c>
      <c r="Q107">
        <f t="shared" si="17"/>
        <v>3.1578947368421095E-2</v>
      </c>
      <c r="R107">
        <f t="shared" si="17"/>
        <v>0.13684210526315782</v>
      </c>
      <c r="S107">
        <f t="shared" si="18"/>
        <v>0.18684210526315781</v>
      </c>
      <c r="T107">
        <f t="shared" si="19"/>
        <v>0.10526315789473678</v>
      </c>
      <c r="U107">
        <f t="shared" si="20"/>
        <v>0.13317453609347363</v>
      </c>
      <c r="V107">
        <f t="shared" si="21"/>
        <v>8.7477737571550904E-2</v>
      </c>
      <c r="W107">
        <f t="shared" si="22"/>
        <v>0.25439352680835725</v>
      </c>
      <c r="X107">
        <v>0</v>
      </c>
      <c r="Y107">
        <v>115.2</v>
      </c>
      <c r="Z107">
        <v>37.200000000000003</v>
      </c>
      <c r="AA107">
        <v>56.4</v>
      </c>
      <c r="AB107">
        <v>0</v>
      </c>
      <c r="AC107">
        <v>0</v>
      </c>
      <c r="AD107">
        <v>0</v>
      </c>
      <c r="AE107">
        <v>0</v>
      </c>
      <c r="AF107">
        <v>32.210526315789089</v>
      </c>
      <c r="AG107">
        <v>47.368421052631582</v>
      </c>
      <c r="AH107">
        <v>79.578947368420671</v>
      </c>
      <c r="AI107">
        <v>7.8179501385041323</v>
      </c>
      <c r="AJ107">
        <v>24.255734072022179</v>
      </c>
      <c r="AK107">
        <v>17.541783933518001</v>
      </c>
      <c r="AL107">
        <v>2.842105263157884</v>
      </c>
      <c r="AM107">
        <v>52.457573407202197</v>
      </c>
      <c r="AN107">
        <v>180</v>
      </c>
      <c r="AO107">
        <v>0</v>
      </c>
      <c r="AP107">
        <v>6.8715789473684303</v>
      </c>
      <c r="AQ107">
        <v>15.928421052631331</v>
      </c>
      <c r="AR107">
        <v>3.4105263157894821</v>
      </c>
      <c r="AS107">
        <v>9.3815401662048927</v>
      </c>
      <c r="AT107">
        <v>22.23530193905842</v>
      </c>
      <c r="AU107">
        <v>6.5936842105260842</v>
      </c>
      <c r="AV107">
        <v>0</v>
      </c>
      <c r="AW107">
        <v>26.210526315789242</v>
      </c>
      <c r="AX107">
        <v>38.210526315789402</v>
      </c>
      <c r="AY107">
        <v>32.210526315789323</v>
      </c>
      <c r="AZ107">
        <v>26.210526315789298</v>
      </c>
      <c r="BA107">
        <v>38.21052631578906</v>
      </c>
      <c r="BB107">
        <v>32.210526315789181</v>
      </c>
      <c r="BC107">
        <v>4.6907700831024464</v>
      </c>
      <c r="BD107">
        <v>14.553440443213431</v>
      </c>
      <c r="BE107">
        <v>11.261052631578711</v>
      </c>
      <c r="BF107">
        <v>1.705263157894741</v>
      </c>
    </row>
    <row r="108" spans="1:58" x14ac:dyDescent="0.2">
      <c r="A108">
        <v>331</v>
      </c>
      <c r="B108">
        <v>45</v>
      </c>
      <c r="C108">
        <v>208.33333333333329</v>
      </c>
      <c r="D108">
        <v>250</v>
      </c>
      <c r="E108">
        <v>208.33333333333329</v>
      </c>
      <c r="F108">
        <f t="shared" si="23"/>
        <v>458.33333333333326</v>
      </c>
      <c r="G108">
        <f t="shared" si="23"/>
        <v>458.33333333333326</v>
      </c>
      <c r="H108">
        <v>625</v>
      </c>
      <c r="I108">
        <v>0.1388888888888889</v>
      </c>
      <c r="J108">
        <v>0.1388888888888889</v>
      </c>
      <c r="K108">
        <v>0.1388888888888889</v>
      </c>
      <c r="L108">
        <f t="shared" si="13"/>
        <v>0.27777777777777779</v>
      </c>
      <c r="M108">
        <f t="shared" si="14"/>
        <v>0.27777777777777779</v>
      </c>
      <c r="N108">
        <v>0.41666666666666669</v>
      </c>
      <c r="O108">
        <f t="shared" si="15"/>
        <v>8.8888888888888892E-2</v>
      </c>
      <c r="P108">
        <f t="shared" si="16"/>
        <v>0</v>
      </c>
      <c r="Q108">
        <f t="shared" si="17"/>
        <v>3.888888888888889E-2</v>
      </c>
      <c r="R108">
        <f t="shared" si="17"/>
        <v>0.12222222222222223</v>
      </c>
      <c r="S108">
        <f t="shared" si="18"/>
        <v>0.17222222222222222</v>
      </c>
      <c r="T108">
        <f t="shared" si="19"/>
        <v>8.3333333333333315E-2</v>
      </c>
      <c r="U108">
        <f t="shared" si="20"/>
        <v>0.12184284555256282</v>
      </c>
      <c r="V108">
        <f t="shared" si="21"/>
        <v>9.7023606647627672E-2</v>
      </c>
      <c r="W108">
        <f t="shared" si="22"/>
        <v>0.22703129713002831</v>
      </c>
      <c r="X108">
        <v>0</v>
      </c>
      <c r="Y108">
        <v>1.2</v>
      </c>
      <c r="Z108">
        <v>31.2</v>
      </c>
      <c r="AA108">
        <v>56.4</v>
      </c>
      <c r="AB108">
        <v>0</v>
      </c>
      <c r="AC108">
        <v>0</v>
      </c>
      <c r="AD108">
        <v>0</v>
      </c>
      <c r="AE108">
        <v>0</v>
      </c>
      <c r="AF108">
        <v>31.333333333332678</v>
      </c>
      <c r="AG108">
        <v>50</v>
      </c>
      <c r="AH108">
        <v>81.333333333332689</v>
      </c>
      <c r="AI108">
        <v>13.763950617283919</v>
      </c>
      <c r="AJ108">
        <v>20.724938271604959</v>
      </c>
      <c r="AK108">
        <v>10.41283950617281</v>
      </c>
      <c r="AL108">
        <v>6.7760987654320859</v>
      </c>
      <c r="AM108">
        <v>51.67782716049377</v>
      </c>
      <c r="AN108">
        <v>180</v>
      </c>
      <c r="AO108">
        <v>0</v>
      </c>
      <c r="AP108">
        <v>2.7733333333333978</v>
      </c>
      <c r="AQ108">
        <v>2.026666666666844</v>
      </c>
      <c r="AR108">
        <v>8.5333333333333332</v>
      </c>
      <c r="AS108">
        <v>16.516740740740751</v>
      </c>
      <c r="AT108">
        <v>22.09659259259255</v>
      </c>
      <c r="AU108">
        <v>10.719999999999709</v>
      </c>
      <c r="AV108">
        <v>0</v>
      </c>
      <c r="AW108">
        <v>13.333333333333581</v>
      </c>
      <c r="AX108">
        <v>49.333333333333023</v>
      </c>
      <c r="AY108">
        <v>31.3333333333333</v>
      </c>
      <c r="AZ108">
        <v>13.333333333332851</v>
      </c>
      <c r="BA108">
        <v>49.333333333332533</v>
      </c>
      <c r="BB108">
        <v>31.333333333332689</v>
      </c>
      <c r="BC108">
        <v>8.2583703703703772</v>
      </c>
      <c r="BD108">
        <v>12.43496296296297</v>
      </c>
      <c r="BE108">
        <v>6.3733333333332771</v>
      </c>
      <c r="BF108">
        <v>4.2666666666666666</v>
      </c>
    </row>
    <row r="109" spans="1:58" x14ac:dyDescent="0.2">
      <c r="A109">
        <v>331</v>
      </c>
      <c r="B109">
        <v>42.5</v>
      </c>
      <c r="C109">
        <v>208.33333333333329</v>
      </c>
      <c r="D109">
        <v>250</v>
      </c>
      <c r="E109">
        <v>208.33333333333329</v>
      </c>
      <c r="F109">
        <f t="shared" si="23"/>
        <v>458.33333333333326</v>
      </c>
      <c r="G109">
        <f t="shared" si="23"/>
        <v>458.33333333333326</v>
      </c>
      <c r="H109">
        <v>625</v>
      </c>
      <c r="I109">
        <v>0.1470588235294118</v>
      </c>
      <c r="J109">
        <v>0.1470588235294118</v>
      </c>
      <c r="K109">
        <v>0.1470588235294118</v>
      </c>
      <c r="L109">
        <f t="shared" si="13"/>
        <v>0.29411764705882359</v>
      </c>
      <c r="M109">
        <f t="shared" si="14"/>
        <v>0.29411764705882359</v>
      </c>
      <c r="N109">
        <v>0.44117647058823528</v>
      </c>
      <c r="O109">
        <f t="shared" si="15"/>
        <v>9.7058823529411795E-2</v>
      </c>
      <c r="P109">
        <f t="shared" si="16"/>
        <v>0</v>
      </c>
      <c r="Q109">
        <f t="shared" si="17"/>
        <v>4.7058823529411792E-2</v>
      </c>
      <c r="R109">
        <f t="shared" si="17"/>
        <v>0.10588235294117643</v>
      </c>
      <c r="S109">
        <f t="shared" si="18"/>
        <v>0.15588235294117642</v>
      </c>
      <c r="T109">
        <f t="shared" si="19"/>
        <v>5.8823529411764719E-2</v>
      </c>
      <c r="U109">
        <f t="shared" si="20"/>
        <v>0.11349283165632201</v>
      </c>
      <c r="V109">
        <f t="shared" si="21"/>
        <v>0.10786541659348385</v>
      </c>
      <c r="W109">
        <f t="shared" si="22"/>
        <v>0.19740969640646858</v>
      </c>
      <c r="X109">
        <v>0</v>
      </c>
      <c r="Y109">
        <v>116.4</v>
      </c>
      <c r="Z109">
        <v>25.2</v>
      </c>
      <c r="AA109">
        <v>45.6</v>
      </c>
      <c r="AB109">
        <v>0</v>
      </c>
      <c r="AC109">
        <v>0</v>
      </c>
      <c r="AD109">
        <v>0</v>
      </c>
      <c r="AE109">
        <v>0</v>
      </c>
      <c r="AF109">
        <v>30.35294117647021</v>
      </c>
      <c r="AG109">
        <v>52.941176470588239</v>
      </c>
      <c r="AH109">
        <v>83.294117647058442</v>
      </c>
      <c r="AI109">
        <v>11.609480968858129</v>
      </c>
      <c r="AJ109">
        <v>28.825813148788921</v>
      </c>
      <c r="AK109">
        <v>8.4559169550173063</v>
      </c>
      <c r="AL109">
        <v>1.428332179930843</v>
      </c>
      <c r="AM109">
        <v>50.319543252595203</v>
      </c>
      <c r="AN109">
        <v>180</v>
      </c>
      <c r="AO109">
        <v>0</v>
      </c>
      <c r="AP109">
        <v>7.3976470588235923</v>
      </c>
      <c r="AQ109">
        <v>1.7188650519031701</v>
      </c>
      <c r="AR109">
        <v>2.036429065743949</v>
      </c>
      <c r="AS109">
        <v>13.93137716262952</v>
      </c>
      <c r="AT109">
        <v>27.193328719722921</v>
      </c>
      <c r="AU109">
        <v>8.4282352941176217</v>
      </c>
      <c r="AV109">
        <v>0</v>
      </c>
      <c r="AW109">
        <v>11.15294117647071</v>
      </c>
      <c r="AX109">
        <v>49.552941176470057</v>
      </c>
      <c r="AY109">
        <v>30.352941176470392</v>
      </c>
      <c r="AZ109">
        <v>11.152941176470661</v>
      </c>
      <c r="BA109">
        <v>49.552941176469943</v>
      </c>
      <c r="BB109">
        <v>30.352941176470299</v>
      </c>
      <c r="BC109">
        <v>6.9656885813147609</v>
      </c>
      <c r="BD109">
        <v>17.295487889273261</v>
      </c>
      <c r="BE109">
        <v>5.0735501730103962</v>
      </c>
      <c r="BF109">
        <v>1.0182145328719749</v>
      </c>
    </row>
    <row r="110" spans="1:58" x14ac:dyDescent="0.2">
      <c r="A110">
        <v>331</v>
      </c>
      <c r="B110">
        <v>40</v>
      </c>
      <c r="C110">
        <v>208.33333333333329</v>
      </c>
      <c r="D110">
        <v>250</v>
      </c>
      <c r="E110">
        <v>208.33333333333329</v>
      </c>
      <c r="F110">
        <f t="shared" si="23"/>
        <v>458.33333333333326</v>
      </c>
      <c r="G110">
        <f t="shared" si="23"/>
        <v>458.33333333333326</v>
      </c>
      <c r="H110">
        <v>625</v>
      </c>
      <c r="I110">
        <v>0.15625</v>
      </c>
      <c r="J110">
        <v>0.15625</v>
      </c>
      <c r="K110">
        <v>0.15625</v>
      </c>
      <c r="L110">
        <f t="shared" si="13"/>
        <v>0.3125</v>
      </c>
      <c r="M110">
        <f t="shared" si="14"/>
        <v>0.3125</v>
      </c>
      <c r="N110">
        <v>0.46875000000000011</v>
      </c>
      <c r="O110">
        <f t="shared" si="15"/>
        <v>0.10625</v>
      </c>
      <c r="P110">
        <f t="shared" si="16"/>
        <v>6.2500000000000056E-3</v>
      </c>
      <c r="Q110">
        <f t="shared" si="17"/>
        <v>5.6249999999999994E-2</v>
      </c>
      <c r="R110">
        <f t="shared" si="17"/>
        <v>8.7500000000000022E-2</v>
      </c>
      <c r="S110">
        <f t="shared" si="18"/>
        <v>0.13750000000000001</v>
      </c>
      <c r="T110">
        <f t="shared" si="19"/>
        <v>3.1249999999999889E-2</v>
      </c>
      <c r="U110">
        <f t="shared" si="20"/>
        <v>0.11075028216668341</v>
      </c>
      <c r="V110">
        <f t="shared" si="21"/>
        <v>0.12038350177661389</v>
      </c>
      <c r="W110">
        <f t="shared" si="22"/>
        <v>0.16594897559189692</v>
      </c>
      <c r="X110">
        <v>0</v>
      </c>
      <c r="Y110">
        <v>115.2</v>
      </c>
      <c r="Z110">
        <v>31.2</v>
      </c>
      <c r="AA110">
        <v>50.4</v>
      </c>
      <c r="AB110">
        <v>0</v>
      </c>
      <c r="AC110">
        <v>0</v>
      </c>
      <c r="AD110">
        <v>0</v>
      </c>
      <c r="AE110">
        <v>0</v>
      </c>
      <c r="AF110">
        <v>29.24999999999968</v>
      </c>
      <c r="AG110">
        <v>56.25</v>
      </c>
      <c r="AH110">
        <v>85.499999999999687</v>
      </c>
      <c r="AI110">
        <v>9.9393749999999734</v>
      </c>
      <c r="AJ110">
        <v>25.16062500000001</v>
      </c>
      <c r="AK110">
        <v>12.568437499999989</v>
      </c>
      <c r="AL110">
        <v>0.31443749999998538</v>
      </c>
      <c r="AM110">
        <v>47.982874999999957</v>
      </c>
      <c r="AN110">
        <v>180</v>
      </c>
      <c r="AO110">
        <v>0</v>
      </c>
      <c r="AP110">
        <v>9.2399999999999025</v>
      </c>
      <c r="AQ110">
        <v>7.5600000000000973</v>
      </c>
      <c r="AR110">
        <v>0.45</v>
      </c>
      <c r="AS110">
        <v>11.92724999999975</v>
      </c>
      <c r="AT110">
        <v>20.95274999999997</v>
      </c>
      <c r="AU110">
        <v>8.370000000000033</v>
      </c>
      <c r="AV110">
        <v>0</v>
      </c>
      <c r="AW110">
        <v>17.25</v>
      </c>
      <c r="AX110">
        <v>41.249999999999758</v>
      </c>
      <c r="AY110">
        <v>29.249999999999879</v>
      </c>
      <c r="AZ110">
        <v>17.249999999999929</v>
      </c>
      <c r="BA110">
        <v>41.249999999999773</v>
      </c>
      <c r="BB110">
        <v>29.249999999999851</v>
      </c>
      <c r="BC110">
        <v>5.9636249999998752</v>
      </c>
      <c r="BD110">
        <v>15.09637499999994</v>
      </c>
      <c r="BE110">
        <v>7.9650000000000656</v>
      </c>
      <c r="BF110">
        <v>0.22500000000000001</v>
      </c>
    </row>
    <row r="111" spans="1:58" x14ac:dyDescent="0.2">
      <c r="A111">
        <v>331</v>
      </c>
      <c r="B111">
        <v>37.5</v>
      </c>
      <c r="C111">
        <v>208.33333333333329</v>
      </c>
      <c r="D111">
        <v>250</v>
      </c>
      <c r="E111">
        <v>208.33333333333329</v>
      </c>
      <c r="F111">
        <f t="shared" si="23"/>
        <v>458.33333333333326</v>
      </c>
      <c r="G111">
        <f t="shared" si="23"/>
        <v>458.33333333333326</v>
      </c>
      <c r="H111">
        <v>625</v>
      </c>
      <c r="I111">
        <v>0.16666666666666671</v>
      </c>
      <c r="J111">
        <v>0.16666666666666671</v>
      </c>
      <c r="K111">
        <v>0.16666666666666671</v>
      </c>
      <c r="L111">
        <f t="shared" si="13"/>
        <v>0.33333333333333343</v>
      </c>
      <c r="M111">
        <f t="shared" si="14"/>
        <v>0.33333333333333343</v>
      </c>
      <c r="N111">
        <v>0.5</v>
      </c>
      <c r="O111">
        <f t="shared" si="15"/>
        <v>0.11666666666666671</v>
      </c>
      <c r="P111">
        <f t="shared" si="16"/>
        <v>1.6666666666666718E-2</v>
      </c>
      <c r="Q111">
        <f t="shared" si="17"/>
        <v>6.6666666666666707E-2</v>
      </c>
      <c r="R111">
        <f t="shared" si="17"/>
        <v>6.6666666666666596E-2</v>
      </c>
      <c r="S111">
        <f t="shared" si="18"/>
        <v>0.11666666666666659</v>
      </c>
      <c r="T111">
        <f t="shared" si="19"/>
        <v>0</v>
      </c>
      <c r="U111">
        <f t="shared" si="20"/>
        <v>0.11666666666666671</v>
      </c>
      <c r="V111">
        <f t="shared" si="21"/>
        <v>0.13540064007726607</v>
      </c>
      <c r="W111">
        <f t="shared" si="22"/>
        <v>0.13437096247164237</v>
      </c>
      <c r="X111">
        <v>0</v>
      </c>
      <c r="Y111">
        <v>3.6</v>
      </c>
      <c r="Z111">
        <v>31.2</v>
      </c>
      <c r="AA111">
        <v>58.8</v>
      </c>
      <c r="AB111">
        <v>0</v>
      </c>
      <c r="AC111">
        <v>0</v>
      </c>
      <c r="AD111">
        <v>0</v>
      </c>
      <c r="AE111">
        <v>0</v>
      </c>
      <c r="AF111">
        <v>27.999999999999702</v>
      </c>
      <c r="AG111">
        <v>60.000000000000007</v>
      </c>
      <c r="AH111">
        <v>87.999999999999716</v>
      </c>
      <c r="AI111">
        <v>15.99555555555553</v>
      </c>
      <c r="AJ111">
        <v>15.471111111111121</v>
      </c>
      <c r="AK111">
        <v>12.26444444444444</v>
      </c>
      <c r="AL111">
        <v>2.4413333333332989</v>
      </c>
      <c r="AM111">
        <v>46.172444444444388</v>
      </c>
      <c r="AN111">
        <v>180</v>
      </c>
      <c r="AO111">
        <v>0</v>
      </c>
      <c r="AP111">
        <v>3.5199999999999521</v>
      </c>
      <c r="AQ111">
        <v>0.55733333333337209</v>
      </c>
      <c r="AR111">
        <v>3.5226666666668378</v>
      </c>
      <c r="AS111">
        <v>19.194666666666311</v>
      </c>
      <c r="AT111">
        <v>15.04533333333351</v>
      </c>
      <c r="AU111">
        <v>14.159999999999689</v>
      </c>
      <c r="AV111">
        <v>0</v>
      </c>
      <c r="AW111">
        <v>7.6000000000001622</v>
      </c>
      <c r="AX111">
        <v>48.399999999999523</v>
      </c>
      <c r="AY111">
        <v>27.99999999999984</v>
      </c>
      <c r="AZ111">
        <v>7.5999999999999366</v>
      </c>
      <c r="BA111">
        <v>48.399999999999608</v>
      </c>
      <c r="BB111">
        <v>27.999999999999769</v>
      </c>
      <c r="BC111">
        <v>9.5973333333331539</v>
      </c>
      <c r="BD111">
        <v>9.2826666666667332</v>
      </c>
      <c r="BE111">
        <v>7.3586666666665321</v>
      </c>
      <c r="BF111">
        <v>1.7613333333334189</v>
      </c>
    </row>
    <row r="112" spans="1:58" x14ac:dyDescent="0.2">
      <c r="A112">
        <v>331</v>
      </c>
      <c r="B112">
        <v>35</v>
      </c>
      <c r="C112">
        <v>208.33333333333329</v>
      </c>
      <c r="D112">
        <v>250</v>
      </c>
      <c r="E112">
        <v>208.33333333333329</v>
      </c>
      <c r="F112">
        <f t="shared" si="23"/>
        <v>458.33333333333326</v>
      </c>
      <c r="G112">
        <f t="shared" si="23"/>
        <v>458.33333333333326</v>
      </c>
      <c r="H112">
        <v>625</v>
      </c>
      <c r="I112">
        <v>0.1785714285714286</v>
      </c>
      <c r="J112">
        <v>0.1785714285714286</v>
      </c>
      <c r="K112">
        <v>0.1785714285714286</v>
      </c>
      <c r="L112">
        <f t="shared" si="13"/>
        <v>0.35714285714285721</v>
      </c>
      <c r="M112">
        <f t="shared" si="14"/>
        <v>0.35714285714285721</v>
      </c>
      <c r="N112">
        <v>0.5357142857142857</v>
      </c>
      <c r="O112">
        <f t="shared" si="15"/>
        <v>0.12857142857142861</v>
      </c>
      <c r="P112">
        <f t="shared" si="16"/>
        <v>2.8571428571428609E-2</v>
      </c>
      <c r="Q112">
        <f t="shared" si="17"/>
        <v>7.8571428571428598E-2</v>
      </c>
      <c r="R112">
        <f t="shared" si="17"/>
        <v>4.2857142857142816E-2</v>
      </c>
      <c r="S112">
        <f t="shared" si="18"/>
        <v>9.2857142857142805E-2</v>
      </c>
      <c r="T112">
        <f t="shared" si="19"/>
        <v>3.5714285714285698E-2</v>
      </c>
      <c r="U112">
        <f t="shared" si="20"/>
        <v>0.13343958351621008</v>
      </c>
      <c r="V112">
        <f t="shared" si="21"/>
        <v>0.15336364681131354</v>
      </c>
      <c r="W112">
        <f t="shared" si="22"/>
        <v>0.10832679205787922</v>
      </c>
      <c r="X112">
        <v>0</v>
      </c>
      <c r="Y112">
        <v>103.2</v>
      </c>
      <c r="Z112">
        <v>61.2</v>
      </c>
      <c r="AA112">
        <v>61.2</v>
      </c>
      <c r="AB112">
        <v>0</v>
      </c>
      <c r="AC112">
        <v>0</v>
      </c>
      <c r="AD112">
        <v>0</v>
      </c>
      <c r="AE112">
        <v>0</v>
      </c>
      <c r="AF112">
        <v>28.28571428571421</v>
      </c>
      <c r="AG112">
        <v>64.285714285714292</v>
      </c>
      <c r="AH112">
        <v>92.571428571428498</v>
      </c>
      <c r="AI112">
        <v>4.5714285714286014</v>
      </c>
      <c r="AJ112">
        <v>17.485714285714291</v>
      </c>
      <c r="AK112">
        <v>13.55502040816328</v>
      </c>
      <c r="AL112">
        <v>10.80816326530616</v>
      </c>
      <c r="AM112">
        <v>46.420326530612328</v>
      </c>
      <c r="AN112">
        <v>180</v>
      </c>
      <c r="AO112">
        <v>0</v>
      </c>
      <c r="AP112">
        <v>20.982857142857149</v>
      </c>
      <c r="AQ112">
        <v>16.902857142857179</v>
      </c>
      <c r="AR112">
        <v>13.2</v>
      </c>
      <c r="AS112">
        <v>5.485714285714332</v>
      </c>
      <c r="AT112">
        <v>0</v>
      </c>
      <c r="AU112">
        <v>0</v>
      </c>
      <c r="AV112">
        <v>0</v>
      </c>
      <c r="AW112">
        <v>51.085714285714332</v>
      </c>
      <c r="AX112">
        <v>5.485714285714332</v>
      </c>
      <c r="AY112">
        <v>28.285714285714331</v>
      </c>
      <c r="AZ112">
        <v>51.085714285714218</v>
      </c>
      <c r="BA112">
        <v>5.4857142857142236</v>
      </c>
      <c r="BB112">
        <v>28.285714285714221</v>
      </c>
      <c r="BC112">
        <v>2.742857142857166</v>
      </c>
      <c r="BD112">
        <v>10.491428571428569</v>
      </c>
      <c r="BE112">
        <v>8.4514285714285915</v>
      </c>
      <c r="BF112">
        <v>6.6</v>
      </c>
    </row>
    <row r="113" spans="1:58" x14ac:dyDescent="0.2">
      <c r="A113">
        <v>331</v>
      </c>
      <c r="B113">
        <v>32.5</v>
      </c>
      <c r="C113">
        <v>208.33333333333329</v>
      </c>
      <c r="D113">
        <v>250</v>
      </c>
      <c r="E113">
        <v>208.33333333333329</v>
      </c>
      <c r="F113">
        <f t="shared" si="23"/>
        <v>458.33333333333326</v>
      </c>
      <c r="G113">
        <f t="shared" si="23"/>
        <v>458.33333333333326</v>
      </c>
      <c r="H113">
        <v>625</v>
      </c>
      <c r="I113">
        <v>0.19230769230769229</v>
      </c>
      <c r="J113">
        <v>0.19230769230769229</v>
      </c>
      <c r="K113">
        <v>0.19230769230769229</v>
      </c>
      <c r="L113">
        <f t="shared" si="13"/>
        <v>0.38461538461538458</v>
      </c>
      <c r="M113">
        <f t="shared" si="14"/>
        <v>0.38461538461538458</v>
      </c>
      <c r="N113">
        <v>0.57692307692307698</v>
      </c>
      <c r="O113">
        <f t="shared" si="15"/>
        <v>0.1423076923076923</v>
      </c>
      <c r="P113">
        <f t="shared" si="16"/>
        <v>4.2307692307692296E-2</v>
      </c>
      <c r="Q113">
        <f t="shared" si="17"/>
        <v>9.2307692307692285E-2</v>
      </c>
      <c r="R113">
        <f t="shared" si="17"/>
        <v>1.5384615384615441E-2</v>
      </c>
      <c r="S113">
        <f t="shared" si="18"/>
        <v>6.538461538461543E-2</v>
      </c>
      <c r="T113">
        <f t="shared" si="19"/>
        <v>7.6923076923076983E-2</v>
      </c>
      <c r="U113">
        <f t="shared" si="20"/>
        <v>0.16176723726779302</v>
      </c>
      <c r="V113">
        <f t="shared" si="21"/>
        <v>0.17482027965174632</v>
      </c>
      <c r="W113">
        <f t="shared" si="22"/>
        <v>0.10212244651809049</v>
      </c>
      <c r="X113">
        <v>0</v>
      </c>
      <c r="Y113">
        <v>1.2</v>
      </c>
      <c r="Z113">
        <v>28.8</v>
      </c>
      <c r="AA113">
        <v>58.8</v>
      </c>
      <c r="AB113">
        <v>0</v>
      </c>
      <c r="AC113">
        <v>0</v>
      </c>
      <c r="AD113">
        <v>0</v>
      </c>
      <c r="AE113">
        <v>0</v>
      </c>
      <c r="AF113">
        <v>33.230769230769127</v>
      </c>
      <c r="AG113">
        <v>69.230769230769241</v>
      </c>
      <c r="AH113">
        <v>102.4615384615384</v>
      </c>
      <c r="AI113">
        <v>16.009656804733741</v>
      </c>
      <c r="AJ113">
        <v>21.39550295857989</v>
      </c>
      <c r="AK113">
        <v>15.158934911242611</v>
      </c>
      <c r="AL113">
        <v>1.487218934911277</v>
      </c>
      <c r="AM113">
        <v>54.051313609467513</v>
      </c>
      <c r="AN113">
        <v>180</v>
      </c>
      <c r="AO113">
        <v>0</v>
      </c>
      <c r="AP113">
        <v>7.901538461538439</v>
      </c>
      <c r="AQ113">
        <v>0.74456804733725024</v>
      </c>
      <c r="AR113">
        <v>1.784662721893417</v>
      </c>
      <c r="AS113">
        <v>20.012307692307751</v>
      </c>
      <c r="AT113">
        <v>18.57230769230793</v>
      </c>
      <c r="AU113">
        <v>17.44615384615382</v>
      </c>
      <c r="AV113">
        <v>0</v>
      </c>
      <c r="AW113">
        <v>10.43076923076911</v>
      </c>
      <c r="AX113">
        <v>56.030769230769508</v>
      </c>
      <c r="AY113">
        <v>33.230769230769297</v>
      </c>
      <c r="AZ113">
        <v>10.430769230769229</v>
      </c>
      <c r="BA113">
        <v>56.030769230769216</v>
      </c>
      <c r="BB113">
        <v>33.230769230769234</v>
      </c>
      <c r="BC113">
        <v>10.006153846153881</v>
      </c>
      <c r="BD113">
        <v>13.23692307692319</v>
      </c>
      <c r="BE113">
        <v>9.0953609467455347</v>
      </c>
      <c r="BF113">
        <v>0.89233136094670851</v>
      </c>
    </row>
    <row r="114" spans="1:58" x14ac:dyDescent="0.2">
      <c r="A114">
        <v>331</v>
      </c>
      <c r="B114">
        <v>30</v>
      </c>
      <c r="C114">
        <v>208.33333333333329</v>
      </c>
      <c r="D114">
        <v>250</v>
      </c>
      <c r="E114">
        <v>208.33333333333329</v>
      </c>
      <c r="F114">
        <f t="shared" si="23"/>
        <v>458.33333333333326</v>
      </c>
      <c r="G114">
        <f t="shared" si="23"/>
        <v>458.33333333333326</v>
      </c>
      <c r="H114">
        <v>625</v>
      </c>
      <c r="I114">
        <v>0.20833333333333329</v>
      </c>
      <c r="J114">
        <v>0.20833333333333329</v>
      </c>
      <c r="K114">
        <v>0.20833333333333329</v>
      </c>
      <c r="L114">
        <f t="shared" si="13"/>
        <v>0.41666666666666657</v>
      </c>
      <c r="M114">
        <f t="shared" si="14"/>
        <v>0.41666666666666657</v>
      </c>
      <c r="N114">
        <v>0.625</v>
      </c>
      <c r="O114">
        <f t="shared" si="15"/>
        <v>0.15833333333333327</v>
      </c>
      <c r="P114">
        <f t="shared" si="16"/>
        <v>5.8333333333333293E-2</v>
      </c>
      <c r="Q114">
        <f t="shared" si="17"/>
        <v>0.10833333333333328</v>
      </c>
      <c r="R114">
        <f t="shared" si="17"/>
        <v>0</v>
      </c>
      <c r="S114">
        <f t="shared" si="18"/>
        <v>3.3333333333333437E-2</v>
      </c>
      <c r="T114">
        <f t="shared" si="19"/>
        <v>0.125</v>
      </c>
      <c r="U114">
        <f t="shared" si="20"/>
        <v>0.20172864061517001</v>
      </c>
      <c r="V114">
        <f t="shared" si="21"/>
        <v>0.20052015692526598</v>
      </c>
      <c r="W114">
        <f t="shared" si="22"/>
        <v>0.12936812246883356</v>
      </c>
      <c r="X114">
        <v>0</v>
      </c>
      <c r="Y114">
        <v>111.6</v>
      </c>
      <c r="Z114">
        <v>26.4</v>
      </c>
      <c r="AA114">
        <v>46.8</v>
      </c>
      <c r="AB114">
        <v>0</v>
      </c>
      <c r="AC114">
        <v>0</v>
      </c>
      <c r="AD114">
        <v>0</v>
      </c>
      <c r="AE114">
        <v>0</v>
      </c>
      <c r="AF114">
        <v>38.999999999999758</v>
      </c>
      <c r="AG114">
        <v>75</v>
      </c>
      <c r="AH114">
        <v>113.9999999999998</v>
      </c>
      <c r="AI114">
        <v>10.91755555555555</v>
      </c>
      <c r="AJ114">
        <v>32.280222222222193</v>
      </c>
      <c r="AK114">
        <v>13.612777777777771</v>
      </c>
      <c r="AL114">
        <v>6.3205555555555719</v>
      </c>
      <c r="AM114">
        <v>63.131111111111068</v>
      </c>
      <c r="AN114">
        <v>180</v>
      </c>
      <c r="AO114">
        <v>0</v>
      </c>
      <c r="AP114">
        <v>17.119999999999951</v>
      </c>
      <c r="AQ114">
        <v>3.4953333333333529</v>
      </c>
      <c r="AR114">
        <v>7.5846666666668572</v>
      </c>
      <c r="AS114">
        <v>14.16000000000018</v>
      </c>
      <c r="AT114">
        <v>22.799999999999841</v>
      </c>
      <c r="AU114">
        <v>12.839999999999741</v>
      </c>
      <c r="AV114">
        <v>0</v>
      </c>
      <c r="AW114">
        <v>28.200000000000159</v>
      </c>
      <c r="AX114">
        <v>49.799999999999763</v>
      </c>
      <c r="AY114">
        <v>38.999999999999957</v>
      </c>
      <c r="AZ114">
        <v>28.19999999999995</v>
      </c>
      <c r="BA114">
        <v>49.799999999999947</v>
      </c>
      <c r="BB114">
        <v>38.99999999999995</v>
      </c>
      <c r="BC114">
        <v>7.0800000000000889</v>
      </c>
      <c r="BD114">
        <v>19.959999999999891</v>
      </c>
      <c r="BE114">
        <v>8.1676666666665465</v>
      </c>
      <c r="BF114">
        <v>3.792333333333429</v>
      </c>
    </row>
    <row r="115" spans="1:58" x14ac:dyDescent="0.2">
      <c r="A115">
        <v>331</v>
      </c>
      <c r="B115">
        <v>27.5</v>
      </c>
      <c r="C115">
        <v>208.33333333333329</v>
      </c>
      <c r="D115">
        <v>250</v>
      </c>
      <c r="E115">
        <v>208.33333333333329</v>
      </c>
      <c r="F115">
        <f t="shared" si="23"/>
        <v>458.33333333333326</v>
      </c>
      <c r="G115">
        <f t="shared" si="23"/>
        <v>458.33333333333326</v>
      </c>
      <c r="H115">
        <v>625</v>
      </c>
      <c r="I115">
        <v>0.22727272727272729</v>
      </c>
      <c r="J115">
        <v>0.22727272727272729</v>
      </c>
      <c r="K115">
        <v>0.22727272727272729</v>
      </c>
      <c r="L115">
        <f t="shared" si="13"/>
        <v>0.45454545454545459</v>
      </c>
      <c r="M115">
        <f t="shared" si="14"/>
        <v>0.45454545454545459</v>
      </c>
      <c r="N115">
        <v>0.68181818181818188</v>
      </c>
      <c r="O115">
        <f t="shared" si="15"/>
        <v>0.1772727272727273</v>
      </c>
      <c r="P115">
        <f t="shared" si="16"/>
        <v>7.7272727272727298E-2</v>
      </c>
      <c r="Q115">
        <f t="shared" si="17"/>
        <v>0.12727272727272729</v>
      </c>
      <c r="R115">
        <f t="shared" si="17"/>
        <v>0</v>
      </c>
      <c r="S115">
        <f t="shared" si="18"/>
        <v>0</v>
      </c>
      <c r="T115">
        <f t="shared" si="19"/>
        <v>0.18181818181818188</v>
      </c>
      <c r="U115">
        <f t="shared" si="20"/>
        <v>0.25393595860842588</v>
      </c>
      <c r="V115">
        <f t="shared" si="21"/>
        <v>0.23150602869539719</v>
      </c>
      <c r="W115">
        <f t="shared" si="22"/>
        <v>0.18181818181818188</v>
      </c>
      <c r="X115">
        <v>0</v>
      </c>
      <c r="Y115">
        <v>99.6</v>
      </c>
      <c r="Z115">
        <v>7.1999999999999993</v>
      </c>
      <c r="AA115">
        <v>10.8</v>
      </c>
      <c r="AB115">
        <v>0</v>
      </c>
      <c r="AC115">
        <v>0</v>
      </c>
      <c r="AD115">
        <v>0</v>
      </c>
      <c r="AE115">
        <v>0</v>
      </c>
      <c r="AF115">
        <v>45.054545454545178</v>
      </c>
      <c r="AG115">
        <v>81.818181818181827</v>
      </c>
      <c r="AH115">
        <v>126.872727272727</v>
      </c>
      <c r="AI115">
        <v>5.5606611570247866</v>
      </c>
      <c r="AJ115">
        <v>49.057520661157007</v>
      </c>
      <c r="AK115">
        <v>3.598512396694209</v>
      </c>
      <c r="AL115">
        <v>16.874214876033101</v>
      </c>
      <c r="AM115">
        <v>75.090909090909108</v>
      </c>
      <c r="AN115">
        <v>180</v>
      </c>
      <c r="AO115">
        <v>0</v>
      </c>
      <c r="AP115">
        <v>28.53818181818173</v>
      </c>
      <c r="AQ115">
        <v>0.19457851239656321</v>
      </c>
      <c r="AR115">
        <v>20.249057851239922</v>
      </c>
      <c r="AS115">
        <v>6.6727933884296764</v>
      </c>
      <c r="AT115">
        <v>30.330842975206739</v>
      </c>
      <c r="AU115">
        <v>4.1236363636363729</v>
      </c>
      <c r="AV115">
        <v>0</v>
      </c>
      <c r="AW115">
        <v>48.98181818181822</v>
      </c>
      <c r="AX115">
        <v>41.127272727272789</v>
      </c>
      <c r="AY115">
        <v>45.054545454545497</v>
      </c>
      <c r="AZ115">
        <v>48.981818181818028</v>
      </c>
      <c r="BA115">
        <v>41.127272727272363</v>
      </c>
      <c r="BB115">
        <v>45.054545454545192</v>
      </c>
      <c r="BC115">
        <v>3.3363966942148382</v>
      </c>
      <c r="BD115">
        <v>29.434512396694242</v>
      </c>
      <c r="BE115">
        <v>2.1591074380164681</v>
      </c>
      <c r="BF115">
        <v>10.124528925619961</v>
      </c>
    </row>
    <row r="116" spans="1:58" x14ac:dyDescent="0.2">
      <c r="A116">
        <v>331</v>
      </c>
      <c r="B116">
        <v>25</v>
      </c>
      <c r="C116">
        <v>208.33333333333329</v>
      </c>
      <c r="D116">
        <v>250</v>
      </c>
      <c r="E116">
        <v>208.33333333333329</v>
      </c>
      <c r="F116">
        <f t="shared" si="23"/>
        <v>458.33333333333326</v>
      </c>
      <c r="G116">
        <f t="shared" si="23"/>
        <v>458.33333333333326</v>
      </c>
      <c r="H116">
        <v>625</v>
      </c>
      <c r="I116">
        <v>0.25</v>
      </c>
      <c r="J116">
        <v>0.25</v>
      </c>
      <c r="K116">
        <v>0.25</v>
      </c>
      <c r="L116">
        <f t="shared" si="13"/>
        <v>0.5</v>
      </c>
      <c r="M116">
        <f t="shared" si="14"/>
        <v>0.5</v>
      </c>
      <c r="N116">
        <v>0.75</v>
      </c>
      <c r="O116">
        <f t="shared" si="15"/>
        <v>0.2</v>
      </c>
      <c r="P116">
        <f t="shared" si="16"/>
        <v>9.9999999999999978E-2</v>
      </c>
      <c r="Q116">
        <f t="shared" si="17"/>
        <v>0.15</v>
      </c>
      <c r="R116">
        <f t="shared" si="17"/>
        <v>0</v>
      </c>
      <c r="S116">
        <f t="shared" si="18"/>
        <v>0</v>
      </c>
      <c r="T116">
        <f t="shared" si="19"/>
        <v>0.25</v>
      </c>
      <c r="U116">
        <f t="shared" si="20"/>
        <v>0.32015621187164245</v>
      </c>
      <c r="V116">
        <f t="shared" si="21"/>
        <v>0.26925824035672524</v>
      </c>
      <c r="W116">
        <f t="shared" si="22"/>
        <v>0.25</v>
      </c>
      <c r="X116">
        <v>0</v>
      </c>
      <c r="Y116">
        <v>6</v>
      </c>
      <c r="Z116">
        <v>84</v>
      </c>
      <c r="AA116">
        <v>102</v>
      </c>
      <c r="AB116">
        <v>0</v>
      </c>
      <c r="AC116">
        <v>0</v>
      </c>
      <c r="AD116">
        <v>0</v>
      </c>
      <c r="AE116">
        <v>0</v>
      </c>
      <c r="AF116">
        <v>42</v>
      </c>
      <c r="AG116">
        <v>90</v>
      </c>
      <c r="AH116">
        <v>132</v>
      </c>
      <c r="AI116">
        <v>24</v>
      </c>
      <c r="AJ116">
        <v>12</v>
      </c>
      <c r="AK116">
        <v>28</v>
      </c>
      <c r="AL116">
        <v>6</v>
      </c>
      <c r="AM116">
        <v>70</v>
      </c>
      <c r="AN116">
        <v>180</v>
      </c>
      <c r="AO116">
        <v>0</v>
      </c>
      <c r="AP116">
        <v>9.6</v>
      </c>
      <c r="AQ116">
        <v>19.2</v>
      </c>
      <c r="AR116">
        <v>7.2</v>
      </c>
      <c r="AS116">
        <v>28.8</v>
      </c>
      <c r="AT116">
        <v>4.8</v>
      </c>
      <c r="AU116">
        <v>14.4</v>
      </c>
      <c r="AV116">
        <v>0</v>
      </c>
      <c r="AW116">
        <v>36</v>
      </c>
      <c r="AX116">
        <v>48</v>
      </c>
      <c r="AY116">
        <v>42</v>
      </c>
      <c r="AZ116">
        <v>36.000000000000028</v>
      </c>
      <c r="BA116">
        <v>48.000000000000028</v>
      </c>
      <c r="BB116">
        <v>42.000000000000028</v>
      </c>
      <c r="BC116">
        <v>14.4</v>
      </c>
      <c r="BD116">
        <v>7.1999999999999993</v>
      </c>
      <c r="BE116">
        <v>16.8</v>
      </c>
      <c r="BF116">
        <v>3.6</v>
      </c>
    </row>
    <row r="117" spans="1:58" x14ac:dyDescent="0.2">
      <c r="A117">
        <v>331</v>
      </c>
      <c r="B117">
        <v>22.5</v>
      </c>
      <c r="C117">
        <v>208.33333333333329</v>
      </c>
      <c r="D117">
        <v>250</v>
      </c>
      <c r="E117">
        <v>208.33333333333329</v>
      </c>
      <c r="F117">
        <f t="shared" si="23"/>
        <v>458.33333333333326</v>
      </c>
      <c r="G117">
        <f t="shared" si="23"/>
        <v>458.33333333333326</v>
      </c>
      <c r="H117">
        <v>625</v>
      </c>
      <c r="I117">
        <v>0.27777777777777779</v>
      </c>
      <c r="J117">
        <v>0.27777777777777779</v>
      </c>
      <c r="K117">
        <v>0.27777777777777779</v>
      </c>
      <c r="L117">
        <f t="shared" si="13"/>
        <v>0.55555555555555558</v>
      </c>
      <c r="M117">
        <f t="shared" si="14"/>
        <v>0.55555555555555558</v>
      </c>
      <c r="N117">
        <v>0.83333333333333337</v>
      </c>
      <c r="O117">
        <f t="shared" si="15"/>
        <v>0.17222222222222222</v>
      </c>
      <c r="P117">
        <f t="shared" si="16"/>
        <v>7.2222222222222188E-2</v>
      </c>
      <c r="Q117">
        <f t="shared" si="17"/>
        <v>0.12222222222222223</v>
      </c>
      <c r="R117">
        <f t="shared" si="17"/>
        <v>0</v>
      </c>
      <c r="S117">
        <f t="shared" si="18"/>
        <v>5.5555555555555358E-3</v>
      </c>
      <c r="T117">
        <f t="shared" si="19"/>
        <v>0.16666666666666663</v>
      </c>
      <c r="U117">
        <f t="shared" si="20"/>
        <v>0.23966282900136654</v>
      </c>
      <c r="V117">
        <f t="shared" si="21"/>
        <v>0.22319232696222963</v>
      </c>
      <c r="W117">
        <f t="shared" si="22"/>
        <v>0.16675923355337369</v>
      </c>
      <c r="X117">
        <v>0</v>
      </c>
      <c r="Y117">
        <v>43.2</v>
      </c>
      <c r="Z117">
        <v>46.8</v>
      </c>
      <c r="AA117">
        <v>109.2</v>
      </c>
      <c r="AB117">
        <v>0</v>
      </c>
      <c r="AC117">
        <v>0</v>
      </c>
      <c r="AD117">
        <v>0</v>
      </c>
      <c r="AE117">
        <v>0</v>
      </c>
      <c r="AF117">
        <v>50.66666666666638</v>
      </c>
      <c r="AG117">
        <v>100</v>
      </c>
      <c r="AH117">
        <v>150.6666666666664</v>
      </c>
      <c r="AI117">
        <v>27.94908641975309</v>
      </c>
      <c r="AJ117">
        <v>24.844444444444459</v>
      </c>
      <c r="AK117">
        <v>23.088888888888889</v>
      </c>
      <c r="AL117">
        <v>5.3695802469135687</v>
      </c>
      <c r="AM117">
        <v>81.25200000000001</v>
      </c>
      <c r="AN117">
        <v>180</v>
      </c>
      <c r="AO117">
        <v>0</v>
      </c>
      <c r="AP117">
        <v>9.8666666666666671</v>
      </c>
      <c r="AQ117">
        <v>3.439999999999984</v>
      </c>
      <c r="AR117">
        <v>7.3600000000000971</v>
      </c>
      <c r="AS117">
        <v>36.453333333333212</v>
      </c>
      <c r="AT117">
        <v>19.946666666666552</v>
      </c>
      <c r="AU117">
        <v>24.266666666666669</v>
      </c>
      <c r="AV117">
        <v>0</v>
      </c>
      <c r="AW117">
        <v>20.66666666666675</v>
      </c>
      <c r="AX117">
        <v>80.66666666666643</v>
      </c>
      <c r="AY117">
        <v>50.666666666666593</v>
      </c>
      <c r="AZ117">
        <v>20.666666666666689</v>
      </c>
      <c r="BA117">
        <v>80.666666666666359</v>
      </c>
      <c r="BB117">
        <v>50.666666666666522</v>
      </c>
      <c r="BC117">
        <v>18.226666666666599</v>
      </c>
      <c r="BD117">
        <v>14.906666666666609</v>
      </c>
      <c r="BE117">
        <v>13.853333333333319</v>
      </c>
      <c r="BF117">
        <v>3.680000000000049</v>
      </c>
    </row>
    <row r="118" spans="1:58" x14ac:dyDescent="0.2">
      <c r="A118">
        <v>331</v>
      </c>
      <c r="B118">
        <v>20</v>
      </c>
      <c r="C118">
        <v>208.33333333333329</v>
      </c>
      <c r="D118">
        <v>250</v>
      </c>
      <c r="E118">
        <v>208.33333333333329</v>
      </c>
      <c r="F118">
        <f t="shared" si="23"/>
        <v>458.33333333333326</v>
      </c>
      <c r="G118">
        <f t="shared" si="23"/>
        <v>458.33333333333326</v>
      </c>
      <c r="H118">
        <v>625</v>
      </c>
      <c r="I118">
        <v>0.31250000000000011</v>
      </c>
      <c r="J118">
        <v>0.31250000000000011</v>
      </c>
      <c r="K118">
        <v>0.31250000000000011</v>
      </c>
      <c r="L118">
        <f t="shared" si="13"/>
        <v>0.62500000000000022</v>
      </c>
      <c r="M118">
        <f t="shared" si="14"/>
        <v>0.62500000000000022</v>
      </c>
      <c r="N118">
        <v>0.93750000000000022</v>
      </c>
      <c r="O118">
        <f t="shared" si="15"/>
        <v>0.1374999999999999</v>
      </c>
      <c r="P118">
        <f t="shared" si="16"/>
        <v>3.7499999999999867E-2</v>
      </c>
      <c r="Q118">
        <f t="shared" si="17"/>
        <v>8.7499999999999911E-2</v>
      </c>
      <c r="R118">
        <f t="shared" si="17"/>
        <v>2.5000000000000244E-2</v>
      </c>
      <c r="S118">
        <f t="shared" si="18"/>
        <v>7.5000000000000178E-2</v>
      </c>
      <c r="T118">
        <f t="shared" si="19"/>
        <v>6.2499999999999778E-2</v>
      </c>
      <c r="U118">
        <f t="shared" si="20"/>
        <v>0.15103807466993197</v>
      </c>
      <c r="V118">
        <f t="shared" si="21"/>
        <v>0.16723860200324547</v>
      </c>
      <c r="W118">
        <f t="shared" si="22"/>
        <v>0.10077822185373192</v>
      </c>
      <c r="X118">
        <v>0</v>
      </c>
      <c r="Y118">
        <v>43.2</v>
      </c>
      <c r="Z118">
        <v>22.8</v>
      </c>
      <c r="AA118">
        <v>97.2</v>
      </c>
      <c r="AB118">
        <v>0</v>
      </c>
      <c r="AC118">
        <v>0</v>
      </c>
      <c r="AD118">
        <v>0</v>
      </c>
      <c r="AE118">
        <v>0</v>
      </c>
      <c r="AF118">
        <v>46.499999999999673</v>
      </c>
      <c r="AG118">
        <v>112.5</v>
      </c>
      <c r="AH118">
        <v>158.99999999999969</v>
      </c>
      <c r="AI118">
        <v>22.822250000000039</v>
      </c>
      <c r="AJ118">
        <v>8.1500000000000021</v>
      </c>
      <c r="AK118">
        <v>23.70000000000001</v>
      </c>
      <c r="AL118">
        <v>21.114750000000019</v>
      </c>
      <c r="AM118">
        <v>75.787000000000063</v>
      </c>
      <c r="AN118">
        <v>180</v>
      </c>
      <c r="AO118">
        <v>0</v>
      </c>
      <c r="AP118">
        <v>5.7</v>
      </c>
      <c r="AQ118">
        <v>20.339999999999819</v>
      </c>
      <c r="AR118">
        <v>26.460000000000178</v>
      </c>
      <c r="AS118">
        <v>28.319999999999549</v>
      </c>
      <c r="AT118">
        <v>4.0799999999999681</v>
      </c>
      <c r="AU118">
        <v>8.1</v>
      </c>
      <c r="AV118">
        <v>0</v>
      </c>
      <c r="AW118">
        <v>52.5</v>
      </c>
      <c r="AX118">
        <v>40.499999999999517</v>
      </c>
      <c r="AY118">
        <v>46.499999999999758</v>
      </c>
      <c r="AZ118">
        <v>52.500000000000028</v>
      </c>
      <c r="BA118">
        <v>40.499999999999552</v>
      </c>
      <c r="BB118">
        <v>46.499999999999787</v>
      </c>
      <c r="BC118">
        <v>14.159999999999769</v>
      </c>
      <c r="BD118">
        <v>4.8899999999999846</v>
      </c>
      <c r="BE118">
        <v>14.21999999999991</v>
      </c>
      <c r="BF118">
        <v>13.230000000000089</v>
      </c>
    </row>
    <row r="119" spans="1:58" x14ac:dyDescent="0.2">
      <c r="A119">
        <v>332</v>
      </c>
      <c r="B119">
        <v>50</v>
      </c>
      <c r="C119">
        <v>291.66666666666669</v>
      </c>
      <c r="D119">
        <v>250</v>
      </c>
      <c r="E119">
        <v>291.66666666666669</v>
      </c>
      <c r="F119">
        <f t="shared" si="23"/>
        <v>541.66666666666674</v>
      </c>
      <c r="G119">
        <f t="shared" si="23"/>
        <v>541.66666666666674</v>
      </c>
      <c r="H119">
        <v>791.66666666666674</v>
      </c>
      <c r="I119">
        <v>0.17499999999999999</v>
      </c>
      <c r="J119">
        <v>0.125</v>
      </c>
      <c r="K119">
        <v>0.17499999999999999</v>
      </c>
      <c r="L119">
        <f t="shared" si="13"/>
        <v>0.3</v>
      </c>
      <c r="M119">
        <f t="shared" si="14"/>
        <v>0.3</v>
      </c>
      <c r="N119">
        <v>0.47500000000000009</v>
      </c>
      <c r="O119">
        <f t="shared" si="15"/>
        <v>0.12499999999999999</v>
      </c>
      <c r="P119">
        <f t="shared" si="16"/>
        <v>0</v>
      </c>
      <c r="Q119">
        <f t="shared" si="17"/>
        <v>7.4999999999999983E-2</v>
      </c>
      <c r="R119">
        <f t="shared" si="17"/>
        <v>0.10000000000000003</v>
      </c>
      <c r="S119">
        <f t="shared" si="18"/>
        <v>0.15000000000000002</v>
      </c>
      <c r="T119">
        <f t="shared" si="19"/>
        <v>2.4999999999999911E-2</v>
      </c>
      <c r="U119">
        <f t="shared" si="20"/>
        <v>0.1274754878398196</v>
      </c>
      <c r="V119">
        <f t="shared" si="21"/>
        <v>0.1457737973711325</v>
      </c>
      <c r="W119">
        <f t="shared" si="22"/>
        <v>0.18200274723201298</v>
      </c>
      <c r="X119">
        <v>0</v>
      </c>
      <c r="Y119">
        <v>7.1999999999999993</v>
      </c>
      <c r="Z119">
        <v>33.6</v>
      </c>
      <c r="AA119">
        <v>56.4</v>
      </c>
      <c r="AB119">
        <v>0</v>
      </c>
      <c r="AC119">
        <v>0</v>
      </c>
      <c r="AD119">
        <v>0</v>
      </c>
      <c r="AE119">
        <v>0</v>
      </c>
      <c r="AF119">
        <v>32.999999999999638</v>
      </c>
      <c r="AG119">
        <v>57</v>
      </c>
      <c r="AH119">
        <v>89.999999999999631</v>
      </c>
      <c r="AI119">
        <v>23.17</v>
      </c>
      <c r="AJ119">
        <v>20.63000000000002</v>
      </c>
      <c r="AK119">
        <v>10.18499999999999</v>
      </c>
      <c r="AL119">
        <v>0.82100000000000461</v>
      </c>
      <c r="AM119">
        <v>54.806000000000012</v>
      </c>
      <c r="AN119">
        <v>180</v>
      </c>
      <c r="AO119">
        <v>0</v>
      </c>
      <c r="AP119">
        <v>1.440000000000065</v>
      </c>
      <c r="AQ119">
        <v>0.34199999999990621</v>
      </c>
      <c r="AR119">
        <v>1.217999999999382</v>
      </c>
      <c r="AS119">
        <v>27.804000000000009</v>
      </c>
      <c r="AT119">
        <v>23.316000000000191</v>
      </c>
      <c r="AU119">
        <v>11.879999999999891</v>
      </c>
      <c r="AV119">
        <v>0</v>
      </c>
      <c r="AW119">
        <v>2.999999999999353</v>
      </c>
      <c r="AX119">
        <v>63.000000000000092</v>
      </c>
      <c r="AY119">
        <v>32.999999999999723</v>
      </c>
      <c r="AZ119">
        <v>2.9999999999992748</v>
      </c>
      <c r="BA119">
        <v>63</v>
      </c>
      <c r="BB119">
        <v>32.999999999999638</v>
      </c>
      <c r="BC119">
        <v>13.901999999999999</v>
      </c>
      <c r="BD119">
        <v>12.37800000000013</v>
      </c>
      <c r="BE119">
        <v>6.1109999999998967</v>
      </c>
      <c r="BF119">
        <v>0.60899999999969112</v>
      </c>
    </row>
    <row r="120" spans="1:58" x14ac:dyDescent="0.2">
      <c r="A120">
        <v>332</v>
      </c>
      <c r="B120">
        <v>47.5</v>
      </c>
      <c r="C120">
        <v>291.66666666666669</v>
      </c>
      <c r="D120">
        <v>250</v>
      </c>
      <c r="E120">
        <v>291.66666666666669</v>
      </c>
      <c r="F120">
        <f t="shared" si="23"/>
        <v>541.66666666666674</v>
      </c>
      <c r="G120">
        <f t="shared" si="23"/>
        <v>541.66666666666674</v>
      </c>
      <c r="H120">
        <v>791.66666666666674</v>
      </c>
      <c r="I120">
        <v>0.18421052631578949</v>
      </c>
      <c r="J120">
        <v>0.1315789473684211</v>
      </c>
      <c r="K120">
        <v>0.18421052631578949</v>
      </c>
      <c r="L120">
        <f t="shared" si="13"/>
        <v>0.31578947368421062</v>
      </c>
      <c r="M120">
        <f t="shared" si="14"/>
        <v>0.31578947368421062</v>
      </c>
      <c r="N120">
        <v>0.5</v>
      </c>
      <c r="O120">
        <f t="shared" si="15"/>
        <v>0.1342105263157895</v>
      </c>
      <c r="P120">
        <f t="shared" si="16"/>
        <v>0</v>
      </c>
      <c r="Q120">
        <f t="shared" si="17"/>
        <v>8.4210526315789486E-2</v>
      </c>
      <c r="R120">
        <f t="shared" si="17"/>
        <v>8.4210526315789402E-2</v>
      </c>
      <c r="S120">
        <f t="shared" si="18"/>
        <v>0.13421052631578939</v>
      </c>
      <c r="T120">
        <f t="shared" si="19"/>
        <v>0</v>
      </c>
      <c r="U120">
        <f t="shared" si="20"/>
        <v>0.1342105263157895</v>
      </c>
      <c r="V120">
        <f t="shared" si="21"/>
        <v>0.1584420339314776</v>
      </c>
      <c r="W120">
        <f t="shared" si="22"/>
        <v>0.15844203393147746</v>
      </c>
      <c r="X120">
        <v>0</v>
      </c>
      <c r="Y120">
        <v>3.6</v>
      </c>
      <c r="Z120">
        <v>31.2</v>
      </c>
      <c r="AA120">
        <v>58.8</v>
      </c>
      <c r="AB120">
        <v>0</v>
      </c>
      <c r="AC120">
        <v>0</v>
      </c>
      <c r="AD120">
        <v>0</v>
      </c>
      <c r="AE120">
        <v>0</v>
      </c>
      <c r="AF120">
        <v>32.21052631578867</v>
      </c>
      <c r="AG120">
        <v>60</v>
      </c>
      <c r="AH120">
        <v>92.21052631578867</v>
      </c>
      <c r="AI120">
        <v>18.174072022160651</v>
      </c>
      <c r="AJ120">
        <v>17.152243767313021</v>
      </c>
      <c r="AK120">
        <v>13.91972299168974</v>
      </c>
      <c r="AL120">
        <v>3.649828254847626</v>
      </c>
      <c r="AM120">
        <v>52.89586703601104</v>
      </c>
      <c r="AN120">
        <v>180</v>
      </c>
      <c r="AO120">
        <v>0</v>
      </c>
      <c r="AP120">
        <v>5.2042105263157286</v>
      </c>
      <c r="AQ120">
        <v>1.280509695290756</v>
      </c>
      <c r="AR120">
        <v>5.3258060941830792</v>
      </c>
      <c r="AS120">
        <v>21.808886426592409</v>
      </c>
      <c r="AT120">
        <v>15.3784819944596</v>
      </c>
      <c r="AU120">
        <v>15.42315789473683</v>
      </c>
      <c r="AV120">
        <v>0</v>
      </c>
      <c r="AW120">
        <v>11.810526315789559</v>
      </c>
      <c r="AX120">
        <v>52.610526315788832</v>
      </c>
      <c r="AY120">
        <v>32.210526315789203</v>
      </c>
      <c r="AZ120">
        <v>11.810526315788991</v>
      </c>
      <c r="BA120">
        <v>52.610526315788348</v>
      </c>
      <c r="BB120">
        <v>32.21052631578867</v>
      </c>
      <c r="BC120">
        <v>10.90444321329621</v>
      </c>
      <c r="BD120">
        <v>10.291346260387661</v>
      </c>
      <c r="BE120">
        <v>8.3518337950137926</v>
      </c>
      <c r="BF120">
        <v>2.66290304709154</v>
      </c>
    </row>
    <row r="121" spans="1:58" x14ac:dyDescent="0.2">
      <c r="A121">
        <v>332</v>
      </c>
      <c r="B121">
        <v>45</v>
      </c>
      <c r="C121">
        <v>291.66666666666669</v>
      </c>
      <c r="D121">
        <v>250</v>
      </c>
      <c r="E121">
        <v>291.66666666666669</v>
      </c>
      <c r="F121">
        <f t="shared" si="23"/>
        <v>541.66666666666674</v>
      </c>
      <c r="G121">
        <f t="shared" si="23"/>
        <v>541.66666666666674</v>
      </c>
      <c r="H121">
        <v>791.66666666666674</v>
      </c>
      <c r="I121">
        <v>0.19444444444444439</v>
      </c>
      <c r="J121">
        <v>0.1388888888888889</v>
      </c>
      <c r="K121">
        <v>0.19444444444444439</v>
      </c>
      <c r="L121">
        <f t="shared" si="13"/>
        <v>0.33333333333333326</v>
      </c>
      <c r="M121">
        <f t="shared" si="14"/>
        <v>0.33333333333333326</v>
      </c>
      <c r="N121">
        <v>0.52777777777777779</v>
      </c>
      <c r="O121">
        <f t="shared" si="15"/>
        <v>0.14444444444444438</v>
      </c>
      <c r="P121">
        <f t="shared" si="16"/>
        <v>0</v>
      </c>
      <c r="Q121">
        <f t="shared" si="17"/>
        <v>9.4444444444444386E-2</v>
      </c>
      <c r="R121">
        <f t="shared" si="17"/>
        <v>6.6666666666666763E-2</v>
      </c>
      <c r="S121">
        <f t="shared" si="18"/>
        <v>0.11666666666666675</v>
      </c>
      <c r="T121">
        <f t="shared" si="19"/>
        <v>2.777777777777779E-2</v>
      </c>
      <c r="U121">
        <f t="shared" si="20"/>
        <v>0.14709113660970799</v>
      </c>
      <c r="V121">
        <f t="shared" si="21"/>
        <v>0.17258027296676731</v>
      </c>
      <c r="W121">
        <f t="shared" si="22"/>
        <v>0.13721210039142756</v>
      </c>
      <c r="X121">
        <v>0</v>
      </c>
      <c r="Y121">
        <v>10.8</v>
      </c>
      <c r="Z121">
        <v>30</v>
      </c>
      <c r="AA121">
        <v>64.8</v>
      </c>
      <c r="AB121">
        <v>0</v>
      </c>
      <c r="AC121">
        <v>0</v>
      </c>
      <c r="AD121">
        <v>0</v>
      </c>
      <c r="AE121">
        <v>0</v>
      </c>
      <c r="AF121">
        <v>31.33333333333313</v>
      </c>
      <c r="AG121">
        <v>63.333333333333343</v>
      </c>
      <c r="AH121">
        <v>94.666666666666458</v>
      </c>
      <c r="AI121">
        <v>23.703703703703699</v>
      </c>
      <c r="AJ121">
        <v>9.6962962962962997</v>
      </c>
      <c r="AK121">
        <v>17.08543209876543</v>
      </c>
      <c r="AL121">
        <v>1.648691358024676</v>
      </c>
      <c r="AM121">
        <v>52.134123456790107</v>
      </c>
      <c r="AN121">
        <v>180</v>
      </c>
      <c r="AO121">
        <v>0</v>
      </c>
      <c r="AP121">
        <v>0.42666666666644032</v>
      </c>
      <c r="AQ121">
        <v>2.2518518518498041E-2</v>
      </c>
      <c r="AR121">
        <v>2.084148148148071</v>
      </c>
      <c r="AS121">
        <v>28.44444444444412</v>
      </c>
      <c r="AT121">
        <v>11.20888888888892</v>
      </c>
      <c r="AU121">
        <v>20.479999999999968</v>
      </c>
      <c r="AV121">
        <v>0</v>
      </c>
      <c r="AW121">
        <v>2.5333333333330099</v>
      </c>
      <c r="AX121">
        <v>60.133333333333013</v>
      </c>
      <c r="AY121">
        <v>31.333333333333009</v>
      </c>
      <c r="AZ121">
        <v>2.5333333333332528</v>
      </c>
      <c r="BA121">
        <v>60.133333333333013</v>
      </c>
      <c r="BB121">
        <v>31.33333333333313</v>
      </c>
      <c r="BC121">
        <v>14.22222222222206</v>
      </c>
      <c r="BD121">
        <v>5.8177777777776809</v>
      </c>
      <c r="BE121">
        <v>10.25125925925923</v>
      </c>
      <c r="BF121">
        <v>1.042074074074036</v>
      </c>
    </row>
    <row r="122" spans="1:58" x14ac:dyDescent="0.2">
      <c r="A122">
        <v>332</v>
      </c>
      <c r="B122">
        <v>42.5</v>
      </c>
      <c r="C122">
        <v>291.66666666666669</v>
      </c>
      <c r="D122">
        <v>250</v>
      </c>
      <c r="E122">
        <v>291.66666666666669</v>
      </c>
      <c r="F122">
        <f t="shared" si="23"/>
        <v>541.66666666666674</v>
      </c>
      <c r="G122">
        <f t="shared" si="23"/>
        <v>541.66666666666674</v>
      </c>
      <c r="H122">
        <v>791.66666666666674</v>
      </c>
      <c r="I122">
        <v>0.20588235294117649</v>
      </c>
      <c r="J122">
        <v>0.1470588235294118</v>
      </c>
      <c r="K122">
        <v>0.20588235294117649</v>
      </c>
      <c r="L122">
        <f t="shared" si="13"/>
        <v>0.35294117647058831</v>
      </c>
      <c r="M122">
        <f t="shared" si="14"/>
        <v>0.35294117647058831</v>
      </c>
      <c r="N122">
        <v>0.55882352941176472</v>
      </c>
      <c r="O122">
        <f t="shared" si="15"/>
        <v>0.15588235294117647</v>
      </c>
      <c r="P122">
        <f t="shared" si="16"/>
        <v>0</v>
      </c>
      <c r="Q122">
        <f t="shared" si="17"/>
        <v>0.10588235294117648</v>
      </c>
      <c r="R122">
        <f t="shared" si="17"/>
        <v>4.7058823529411709E-2</v>
      </c>
      <c r="S122">
        <f t="shared" si="18"/>
        <v>9.7058823529411697E-2</v>
      </c>
      <c r="T122">
        <f t="shared" si="19"/>
        <v>5.8823529411764719E-2</v>
      </c>
      <c r="U122">
        <f t="shared" si="20"/>
        <v>0.16661187103845349</v>
      </c>
      <c r="V122">
        <f t="shared" si="21"/>
        <v>0.18844198211342761</v>
      </c>
      <c r="W122">
        <f t="shared" si="22"/>
        <v>0.12286234455414947</v>
      </c>
      <c r="X122">
        <v>0</v>
      </c>
      <c r="Y122">
        <v>2.4</v>
      </c>
      <c r="Z122">
        <v>30</v>
      </c>
      <c r="AA122">
        <v>56.4</v>
      </c>
      <c r="AB122">
        <v>0</v>
      </c>
      <c r="AC122">
        <v>0</v>
      </c>
      <c r="AD122">
        <v>0</v>
      </c>
      <c r="AE122">
        <v>0</v>
      </c>
      <c r="AF122">
        <v>31.058823529411729</v>
      </c>
      <c r="AG122">
        <v>67.058823529411768</v>
      </c>
      <c r="AH122">
        <v>98.117647058823508</v>
      </c>
      <c r="AI122">
        <v>18.04435986159168</v>
      </c>
      <c r="AJ122">
        <v>18.038339100346018</v>
      </c>
      <c r="AK122">
        <v>14.97757785467128</v>
      </c>
      <c r="AL122">
        <v>0.58712802768165129</v>
      </c>
      <c r="AM122">
        <v>51.647404844290627</v>
      </c>
      <c r="AN122">
        <v>180</v>
      </c>
      <c r="AO122">
        <v>0</v>
      </c>
      <c r="AP122">
        <v>8.244705882352962</v>
      </c>
      <c r="AQ122">
        <v>1.709564013840605</v>
      </c>
      <c r="AR122">
        <v>0.70455363321824638</v>
      </c>
      <c r="AS122">
        <v>21.7552941176472</v>
      </c>
      <c r="AT122">
        <v>13.43999999999982</v>
      </c>
      <c r="AU122">
        <v>16.263529411764551</v>
      </c>
      <c r="AV122">
        <v>0</v>
      </c>
      <c r="AW122">
        <v>10.65882352941181</v>
      </c>
      <c r="AX122">
        <v>51.458823529411568</v>
      </c>
      <c r="AY122">
        <v>31.05882352941169</v>
      </c>
      <c r="AZ122">
        <v>10.65882352941169</v>
      </c>
      <c r="BA122">
        <v>51.458823529411767</v>
      </c>
      <c r="BB122">
        <v>31.058823529411729</v>
      </c>
      <c r="BC122">
        <v>10.8776470588236</v>
      </c>
      <c r="BD122">
        <v>10.84235294117639</v>
      </c>
      <c r="BE122">
        <v>8.9865467128025767</v>
      </c>
      <c r="BF122">
        <v>0.35227681660912319</v>
      </c>
    </row>
    <row r="123" spans="1:58" x14ac:dyDescent="0.2">
      <c r="A123">
        <v>332</v>
      </c>
      <c r="B123">
        <v>40</v>
      </c>
      <c r="C123">
        <v>291.66666666666669</v>
      </c>
      <c r="D123">
        <v>250</v>
      </c>
      <c r="E123">
        <v>291.66666666666669</v>
      </c>
      <c r="F123">
        <f t="shared" si="23"/>
        <v>541.66666666666674</v>
      </c>
      <c r="G123">
        <f t="shared" si="23"/>
        <v>541.66666666666674</v>
      </c>
      <c r="H123">
        <v>791.66666666666674</v>
      </c>
      <c r="I123">
        <v>0.21875</v>
      </c>
      <c r="J123">
        <v>0.15625</v>
      </c>
      <c r="K123">
        <v>0.21875</v>
      </c>
      <c r="L123">
        <f t="shared" si="13"/>
        <v>0.375</v>
      </c>
      <c r="M123">
        <f t="shared" si="14"/>
        <v>0.375</v>
      </c>
      <c r="N123">
        <v>0.59375000000000011</v>
      </c>
      <c r="O123">
        <f t="shared" si="15"/>
        <v>0.16875000000000001</v>
      </c>
      <c r="P123">
        <f t="shared" si="16"/>
        <v>6.2500000000000056E-3</v>
      </c>
      <c r="Q123">
        <f t="shared" si="17"/>
        <v>0.11874999999999999</v>
      </c>
      <c r="R123">
        <f t="shared" si="17"/>
        <v>2.5000000000000022E-2</v>
      </c>
      <c r="S123">
        <f t="shared" si="18"/>
        <v>7.5000000000000011E-2</v>
      </c>
      <c r="T123">
        <f t="shared" si="19"/>
        <v>9.3750000000000111E-2</v>
      </c>
      <c r="U123">
        <f t="shared" si="20"/>
        <v>0.19304306514350633</v>
      </c>
      <c r="V123">
        <f t="shared" si="21"/>
        <v>0.2064393070614218</v>
      </c>
      <c r="W123">
        <f t="shared" si="22"/>
        <v>0.12263385543967874</v>
      </c>
      <c r="X123">
        <v>0</v>
      </c>
      <c r="Y123">
        <v>8.4</v>
      </c>
      <c r="Z123">
        <v>30</v>
      </c>
      <c r="AA123">
        <v>62.4</v>
      </c>
      <c r="AB123">
        <v>0</v>
      </c>
      <c r="AC123">
        <v>0</v>
      </c>
      <c r="AD123">
        <v>0</v>
      </c>
      <c r="AE123">
        <v>0</v>
      </c>
      <c r="AF123">
        <v>35.249999999999787</v>
      </c>
      <c r="AG123">
        <v>71.25</v>
      </c>
      <c r="AH123">
        <v>106.4999999999998</v>
      </c>
      <c r="AI123">
        <v>22.83625000000001</v>
      </c>
      <c r="AJ123">
        <v>14.138750000000019</v>
      </c>
      <c r="AK123">
        <v>17.556562499999998</v>
      </c>
      <c r="AL123">
        <v>3.2434375000000002</v>
      </c>
      <c r="AM123">
        <v>57.775000000000027</v>
      </c>
      <c r="AN123">
        <v>180</v>
      </c>
      <c r="AO123">
        <v>0</v>
      </c>
      <c r="AP123">
        <v>4.6800000000000486</v>
      </c>
      <c r="AQ123">
        <v>0.2778750000000097</v>
      </c>
      <c r="AR123">
        <v>3.8921250000000231</v>
      </c>
      <c r="AS123">
        <v>28.319999999999709</v>
      </c>
      <c r="AT123">
        <v>12.540000000000139</v>
      </c>
      <c r="AU123">
        <v>20.7899999999999</v>
      </c>
      <c r="AV123">
        <v>0</v>
      </c>
      <c r="AW123">
        <v>8.8500000000000814</v>
      </c>
      <c r="AX123">
        <v>61.649999999999757</v>
      </c>
      <c r="AY123">
        <v>35.249999999999922</v>
      </c>
      <c r="AZ123">
        <v>8.8499999999999233</v>
      </c>
      <c r="BA123">
        <v>61.649999999999658</v>
      </c>
      <c r="BB123">
        <v>35.249999999999787</v>
      </c>
      <c r="BC123">
        <v>14.159999999999849</v>
      </c>
      <c r="BD123">
        <v>8.6100000000000971</v>
      </c>
      <c r="BE123">
        <v>10.53393749999996</v>
      </c>
      <c r="BF123">
        <v>1.9460625000000109</v>
      </c>
    </row>
    <row r="124" spans="1:58" x14ac:dyDescent="0.2">
      <c r="A124">
        <v>332</v>
      </c>
      <c r="B124">
        <v>37.5</v>
      </c>
      <c r="C124">
        <v>291.66666666666669</v>
      </c>
      <c r="D124">
        <v>250</v>
      </c>
      <c r="E124">
        <v>291.66666666666669</v>
      </c>
      <c r="F124">
        <f t="shared" si="23"/>
        <v>541.66666666666674</v>
      </c>
      <c r="G124">
        <f t="shared" si="23"/>
        <v>541.66666666666674</v>
      </c>
      <c r="H124">
        <v>791.66666666666674</v>
      </c>
      <c r="I124">
        <v>0.23333333333333331</v>
      </c>
      <c r="J124">
        <v>0.16666666666666671</v>
      </c>
      <c r="K124">
        <v>0.23333333333333331</v>
      </c>
      <c r="L124">
        <f t="shared" si="13"/>
        <v>0.4</v>
      </c>
      <c r="M124">
        <f t="shared" si="14"/>
        <v>0.4</v>
      </c>
      <c r="N124">
        <v>0.6333333333333333</v>
      </c>
      <c r="O124">
        <f t="shared" si="15"/>
        <v>0.18333333333333329</v>
      </c>
      <c r="P124">
        <f t="shared" si="16"/>
        <v>1.6666666666666718E-2</v>
      </c>
      <c r="Q124">
        <f t="shared" si="17"/>
        <v>0.1333333333333333</v>
      </c>
      <c r="R124">
        <f t="shared" si="17"/>
        <v>0</v>
      </c>
      <c r="S124">
        <f t="shared" si="18"/>
        <v>4.9999999999999989E-2</v>
      </c>
      <c r="T124">
        <f t="shared" si="19"/>
        <v>0.1333333333333333</v>
      </c>
      <c r="U124">
        <f t="shared" si="20"/>
        <v>0.22669117514559067</v>
      </c>
      <c r="V124">
        <f t="shared" si="21"/>
        <v>0.22730302828309756</v>
      </c>
      <c r="W124">
        <f t="shared" si="22"/>
        <v>0.14240006242195882</v>
      </c>
      <c r="X124">
        <v>0</v>
      </c>
      <c r="Y124">
        <v>93.6</v>
      </c>
      <c r="Z124">
        <v>52.8</v>
      </c>
      <c r="AA124">
        <v>57.599999999999987</v>
      </c>
      <c r="AB124">
        <v>0</v>
      </c>
      <c r="AC124">
        <v>0</v>
      </c>
      <c r="AD124">
        <v>0</v>
      </c>
      <c r="AE124">
        <v>0</v>
      </c>
      <c r="AF124">
        <v>39.999999999999702</v>
      </c>
      <c r="AG124">
        <v>76.000000000000014</v>
      </c>
      <c r="AH124">
        <v>115.9999999999997</v>
      </c>
      <c r="AI124">
        <v>4.3911111111111207</v>
      </c>
      <c r="AJ124">
        <v>30.808888888888891</v>
      </c>
      <c r="AK124">
        <v>18.928000000000001</v>
      </c>
      <c r="AL124">
        <v>11.599999999999991</v>
      </c>
      <c r="AM124">
        <v>65.728000000000009</v>
      </c>
      <c r="AN124">
        <v>180</v>
      </c>
      <c r="AO124">
        <v>0</v>
      </c>
      <c r="AP124">
        <v>33.919999999999952</v>
      </c>
      <c r="AQ124">
        <v>18.55999999999985</v>
      </c>
      <c r="AR124">
        <v>13.919999999999551</v>
      </c>
      <c r="AS124">
        <v>5.2693333333333916</v>
      </c>
      <c r="AT124">
        <v>3.050666666666721</v>
      </c>
      <c r="AU124">
        <v>5.2800000000000482</v>
      </c>
      <c r="AV124">
        <v>0</v>
      </c>
      <c r="AW124">
        <v>66.399999999999352</v>
      </c>
      <c r="AX124">
        <v>13.60000000000016</v>
      </c>
      <c r="AY124">
        <v>39.999999999999758</v>
      </c>
      <c r="AZ124">
        <v>66.399999999999608</v>
      </c>
      <c r="BA124">
        <v>13.599999999999991</v>
      </c>
      <c r="BB124">
        <v>39.999999999999801</v>
      </c>
      <c r="BC124">
        <v>2.6346666666666958</v>
      </c>
      <c r="BD124">
        <v>18.48533333333334</v>
      </c>
      <c r="BE124">
        <v>11.91999999999995</v>
      </c>
      <c r="BF124">
        <v>6.9599999999997726</v>
      </c>
    </row>
    <row r="125" spans="1:58" x14ac:dyDescent="0.2">
      <c r="A125">
        <v>332</v>
      </c>
      <c r="B125">
        <v>35</v>
      </c>
      <c r="C125">
        <v>291.66666666666669</v>
      </c>
      <c r="D125">
        <v>250</v>
      </c>
      <c r="E125">
        <v>291.66666666666669</v>
      </c>
      <c r="F125">
        <f t="shared" si="23"/>
        <v>541.66666666666674</v>
      </c>
      <c r="G125">
        <f t="shared" si="23"/>
        <v>541.66666666666674</v>
      </c>
      <c r="H125">
        <v>791.66666666666674</v>
      </c>
      <c r="I125">
        <v>0.25</v>
      </c>
      <c r="J125">
        <v>0.1785714285714286</v>
      </c>
      <c r="K125">
        <v>0.25</v>
      </c>
      <c r="L125">
        <f t="shared" si="13"/>
        <v>0.4285714285714286</v>
      </c>
      <c r="M125">
        <f t="shared" si="14"/>
        <v>0.4285714285714286</v>
      </c>
      <c r="N125">
        <v>0.6785714285714286</v>
      </c>
      <c r="O125">
        <f t="shared" si="15"/>
        <v>0.2</v>
      </c>
      <c r="P125">
        <f t="shared" si="16"/>
        <v>2.8571428571428609E-2</v>
      </c>
      <c r="Q125">
        <f t="shared" si="17"/>
        <v>0.15</v>
      </c>
      <c r="R125">
        <f t="shared" si="17"/>
        <v>0</v>
      </c>
      <c r="S125">
        <f t="shared" si="18"/>
        <v>2.1428571428571408E-2</v>
      </c>
      <c r="T125">
        <f t="shared" si="19"/>
        <v>0.1785714285714286</v>
      </c>
      <c r="U125">
        <f t="shared" si="20"/>
        <v>0.26811891970176377</v>
      </c>
      <c r="V125">
        <f t="shared" si="21"/>
        <v>0.25162735648297913</v>
      </c>
      <c r="W125">
        <f t="shared" si="22"/>
        <v>0.17985254731448821</v>
      </c>
      <c r="X125">
        <v>0</v>
      </c>
      <c r="Y125">
        <v>14.4</v>
      </c>
      <c r="Z125">
        <v>37.200000000000003</v>
      </c>
      <c r="AA125">
        <v>70.8</v>
      </c>
      <c r="AB125">
        <v>0</v>
      </c>
      <c r="AC125">
        <v>0</v>
      </c>
      <c r="AD125">
        <v>0</v>
      </c>
      <c r="AE125">
        <v>0</v>
      </c>
      <c r="AF125">
        <v>45.428571428570912</v>
      </c>
      <c r="AG125">
        <v>81.428571428571431</v>
      </c>
      <c r="AH125">
        <v>126.85714285714231</v>
      </c>
      <c r="AI125">
        <v>29.487510204081659</v>
      </c>
      <c r="AJ125">
        <v>16.415428571428642</v>
      </c>
      <c r="AK125">
        <v>19.868571428571439</v>
      </c>
      <c r="AL125">
        <v>6.3885714285714208</v>
      </c>
      <c r="AM125">
        <v>72.16008163265316</v>
      </c>
      <c r="AN125">
        <v>180</v>
      </c>
      <c r="AO125">
        <v>0</v>
      </c>
      <c r="AP125">
        <v>2.879999999999967</v>
      </c>
      <c r="AQ125">
        <v>8.2285714285616346E-2</v>
      </c>
      <c r="AR125">
        <v>7.6662857142852667</v>
      </c>
      <c r="AS125">
        <v>38.845714285714273</v>
      </c>
      <c r="AT125">
        <v>17.622857142857459</v>
      </c>
      <c r="AU125">
        <v>23.759999999999771</v>
      </c>
      <c r="AV125">
        <v>0</v>
      </c>
      <c r="AW125">
        <v>10.628571428570851</v>
      </c>
      <c r="AX125">
        <v>80.228571428571499</v>
      </c>
      <c r="AY125">
        <v>45.428571428571168</v>
      </c>
      <c r="AZ125">
        <v>10.62857142857084</v>
      </c>
      <c r="BA125">
        <v>80.228571428571414</v>
      </c>
      <c r="BB125">
        <v>45.428571428571132</v>
      </c>
      <c r="BC125">
        <v>19.422857142857129</v>
      </c>
      <c r="BD125">
        <v>10.251428571428709</v>
      </c>
      <c r="BE125">
        <v>11.9211428571427</v>
      </c>
      <c r="BF125">
        <v>3.8331428571426329</v>
      </c>
    </row>
    <row r="126" spans="1:58" x14ac:dyDescent="0.2">
      <c r="A126">
        <v>332</v>
      </c>
      <c r="B126">
        <v>32.5</v>
      </c>
      <c r="C126">
        <v>291.66666666666669</v>
      </c>
      <c r="D126">
        <v>250</v>
      </c>
      <c r="E126">
        <v>291.66666666666669</v>
      </c>
      <c r="F126">
        <f t="shared" si="23"/>
        <v>541.66666666666674</v>
      </c>
      <c r="G126">
        <f t="shared" si="23"/>
        <v>541.66666666666674</v>
      </c>
      <c r="H126">
        <v>791.66666666666674</v>
      </c>
      <c r="I126">
        <v>0.26923076923076927</v>
      </c>
      <c r="J126">
        <v>0.19230769230769229</v>
      </c>
      <c r="K126">
        <v>0.26923076923076927</v>
      </c>
      <c r="L126">
        <f t="shared" si="13"/>
        <v>0.46153846153846156</v>
      </c>
      <c r="M126">
        <f t="shared" si="14"/>
        <v>0.46153846153846156</v>
      </c>
      <c r="N126">
        <v>0.73076923076923084</v>
      </c>
      <c r="O126">
        <f t="shared" si="15"/>
        <v>0.18076923076923074</v>
      </c>
      <c r="P126">
        <f t="shared" si="16"/>
        <v>4.2307692307692296E-2</v>
      </c>
      <c r="Q126">
        <f t="shared" si="17"/>
        <v>0.13076923076923075</v>
      </c>
      <c r="R126">
        <f t="shared" si="17"/>
        <v>0</v>
      </c>
      <c r="S126">
        <f t="shared" si="18"/>
        <v>0</v>
      </c>
      <c r="T126">
        <f t="shared" si="19"/>
        <v>0.23076923076923084</v>
      </c>
      <c r="U126">
        <f t="shared" si="20"/>
        <v>0.29314152326601894</v>
      </c>
      <c r="V126">
        <f t="shared" si="21"/>
        <v>0.22708599106346936</v>
      </c>
      <c r="W126">
        <f t="shared" si="22"/>
        <v>0.23076923076923084</v>
      </c>
      <c r="X126">
        <v>0</v>
      </c>
      <c r="Y126">
        <v>49.2</v>
      </c>
      <c r="Z126">
        <v>46.8</v>
      </c>
      <c r="AA126">
        <v>4.8</v>
      </c>
      <c r="AB126">
        <v>0</v>
      </c>
      <c r="AC126">
        <v>0</v>
      </c>
      <c r="AD126">
        <v>0</v>
      </c>
      <c r="AE126">
        <v>0</v>
      </c>
      <c r="AF126">
        <v>42.461538461538112</v>
      </c>
      <c r="AG126">
        <v>87.692307692307708</v>
      </c>
      <c r="AH126">
        <v>130.15384615384579</v>
      </c>
      <c r="AI126">
        <v>22.286059171597628</v>
      </c>
      <c r="AJ126">
        <v>19.861538461538451</v>
      </c>
      <c r="AK126">
        <v>8.8153846153846072</v>
      </c>
      <c r="AL126">
        <v>18.329136094674549</v>
      </c>
      <c r="AM126">
        <v>69.292118343195241</v>
      </c>
      <c r="AN126">
        <v>180</v>
      </c>
      <c r="AO126">
        <v>0</v>
      </c>
      <c r="AP126">
        <v>16.892307692307721</v>
      </c>
      <c r="AQ126">
        <v>0.88615384615396675</v>
      </c>
      <c r="AR126">
        <v>22.283076923076841</v>
      </c>
      <c r="AS126">
        <v>28.227692307691829</v>
      </c>
      <c r="AT126">
        <v>6.941538461538423</v>
      </c>
      <c r="AU126">
        <v>9.6923076923078035</v>
      </c>
      <c r="AV126">
        <v>0</v>
      </c>
      <c r="AW126">
        <v>40.061538461538532</v>
      </c>
      <c r="AX126">
        <v>44.861538461538053</v>
      </c>
      <c r="AY126">
        <v>42.461538461538296</v>
      </c>
      <c r="AZ126">
        <v>40.061538461538483</v>
      </c>
      <c r="BA126">
        <v>44.861538461537748</v>
      </c>
      <c r="BB126">
        <v>42.461538461538112</v>
      </c>
      <c r="BC126">
        <v>14.113846153845911</v>
      </c>
      <c r="BD126">
        <v>11.916923076923069</v>
      </c>
      <c r="BE126">
        <v>5.2892307692308851</v>
      </c>
      <c r="BF126">
        <v>11.141538461538421</v>
      </c>
    </row>
    <row r="127" spans="1:58" x14ac:dyDescent="0.2">
      <c r="A127">
        <v>332</v>
      </c>
      <c r="B127">
        <v>30</v>
      </c>
      <c r="C127">
        <v>291.66666666666669</v>
      </c>
      <c r="D127">
        <v>250</v>
      </c>
      <c r="E127">
        <v>291.66666666666669</v>
      </c>
      <c r="F127">
        <f t="shared" si="23"/>
        <v>541.66666666666674</v>
      </c>
      <c r="G127">
        <f t="shared" si="23"/>
        <v>541.66666666666674</v>
      </c>
      <c r="H127">
        <v>791.66666666666674</v>
      </c>
      <c r="I127">
        <v>0.29166666666666669</v>
      </c>
      <c r="J127">
        <v>0.20833333333333329</v>
      </c>
      <c r="K127">
        <v>0.29166666666666669</v>
      </c>
      <c r="L127">
        <f t="shared" si="13"/>
        <v>0.5</v>
      </c>
      <c r="M127">
        <f t="shared" si="14"/>
        <v>0.5</v>
      </c>
      <c r="N127">
        <v>0.79166666666666674</v>
      </c>
      <c r="O127">
        <f t="shared" si="15"/>
        <v>0.15833333333333333</v>
      </c>
      <c r="P127">
        <f t="shared" si="16"/>
        <v>5.8333333333333293E-2</v>
      </c>
      <c r="Q127">
        <f t="shared" si="17"/>
        <v>0.10833333333333334</v>
      </c>
      <c r="R127">
        <f t="shared" si="17"/>
        <v>0</v>
      </c>
      <c r="S127">
        <f t="shared" si="18"/>
        <v>0</v>
      </c>
      <c r="T127">
        <f t="shared" si="19"/>
        <v>0.20833333333333326</v>
      </c>
      <c r="U127">
        <f t="shared" si="20"/>
        <v>0.26167197446845963</v>
      </c>
      <c r="V127">
        <f t="shared" si="21"/>
        <v>0.20052015692526606</v>
      </c>
      <c r="W127">
        <f t="shared" si="22"/>
        <v>0.20833333333333326</v>
      </c>
      <c r="X127">
        <v>0</v>
      </c>
      <c r="Y127">
        <v>37.200000000000003</v>
      </c>
      <c r="Z127">
        <v>32.4</v>
      </c>
      <c r="AA127">
        <v>103.2</v>
      </c>
      <c r="AB127">
        <v>0</v>
      </c>
      <c r="AC127">
        <v>0</v>
      </c>
      <c r="AD127">
        <v>0</v>
      </c>
      <c r="AE127">
        <v>0</v>
      </c>
      <c r="AF127">
        <v>38.999999999999673</v>
      </c>
      <c r="AG127">
        <v>95</v>
      </c>
      <c r="AH127">
        <v>133.99999999999969</v>
      </c>
      <c r="AI127">
        <v>30.020111111111149</v>
      </c>
      <c r="AJ127">
        <v>7.2999999999999989</v>
      </c>
      <c r="AK127">
        <v>14.733333333333331</v>
      </c>
      <c r="AL127">
        <v>10.89344444444446</v>
      </c>
      <c r="AM127">
        <v>62.946888888888942</v>
      </c>
      <c r="AN127">
        <v>180</v>
      </c>
      <c r="AO127">
        <v>0</v>
      </c>
      <c r="AP127">
        <v>2.2000000000000002</v>
      </c>
      <c r="AQ127">
        <v>3.4800000000001292</v>
      </c>
      <c r="AR127">
        <v>14.11999999999979</v>
      </c>
      <c r="AS127">
        <v>37.439999999999657</v>
      </c>
      <c r="AT127">
        <v>6.5599999999998548</v>
      </c>
      <c r="AU127">
        <v>14.199999999999919</v>
      </c>
      <c r="AV127">
        <v>0</v>
      </c>
      <c r="AW127">
        <v>19.799999999999919</v>
      </c>
      <c r="AX127">
        <v>58.199999999999427</v>
      </c>
      <c r="AY127">
        <v>38.999999999999673</v>
      </c>
      <c r="AZ127">
        <v>19.799999999999841</v>
      </c>
      <c r="BA127">
        <v>58.199999999999513</v>
      </c>
      <c r="BB127">
        <v>38.999999999999673</v>
      </c>
      <c r="BC127">
        <v>18.719999999999828</v>
      </c>
      <c r="BD127">
        <v>4.379999999999928</v>
      </c>
      <c r="BE127">
        <v>8.8400000000000247</v>
      </c>
      <c r="BF127">
        <v>7.0599999999998948</v>
      </c>
    </row>
    <row r="128" spans="1:58" x14ac:dyDescent="0.2">
      <c r="A128">
        <v>332</v>
      </c>
      <c r="B128">
        <v>27.5</v>
      </c>
      <c r="C128">
        <v>291.66666666666669</v>
      </c>
      <c r="D128">
        <v>250</v>
      </c>
      <c r="E128">
        <v>291.66666666666669</v>
      </c>
      <c r="F128">
        <f t="shared" si="23"/>
        <v>541.66666666666674</v>
      </c>
      <c r="G128">
        <f t="shared" si="23"/>
        <v>541.66666666666674</v>
      </c>
      <c r="H128">
        <v>791.66666666666674</v>
      </c>
      <c r="I128">
        <v>0.31818181818181818</v>
      </c>
      <c r="J128">
        <v>0.22727272727272729</v>
      </c>
      <c r="K128">
        <v>0.31818181818181818</v>
      </c>
      <c r="L128">
        <f t="shared" si="13"/>
        <v>0.54545454545454541</v>
      </c>
      <c r="M128">
        <f t="shared" si="14"/>
        <v>0.54545454545454541</v>
      </c>
      <c r="N128">
        <v>0.86363636363636376</v>
      </c>
      <c r="O128">
        <f t="shared" si="15"/>
        <v>0.13181818181818183</v>
      </c>
      <c r="P128">
        <f t="shared" si="16"/>
        <v>7.7272727272727298E-2</v>
      </c>
      <c r="Q128">
        <f t="shared" si="17"/>
        <v>8.1818181818181845E-2</v>
      </c>
      <c r="R128">
        <f t="shared" si="17"/>
        <v>0</v>
      </c>
      <c r="S128">
        <f t="shared" si="18"/>
        <v>0</v>
      </c>
      <c r="T128">
        <f t="shared" si="19"/>
        <v>0.13636363636363624</v>
      </c>
      <c r="U128">
        <f t="shared" si="20"/>
        <v>0.18966041859113689</v>
      </c>
      <c r="V128">
        <f t="shared" si="21"/>
        <v>0.1733243269539784</v>
      </c>
      <c r="W128">
        <f t="shared" si="22"/>
        <v>0.13636363636363624</v>
      </c>
      <c r="X128">
        <v>0</v>
      </c>
      <c r="Y128">
        <v>43.2</v>
      </c>
      <c r="Z128">
        <v>32.4</v>
      </c>
      <c r="AA128">
        <v>103.2</v>
      </c>
      <c r="AB128">
        <v>0</v>
      </c>
      <c r="AC128">
        <v>0</v>
      </c>
      <c r="AD128">
        <v>0</v>
      </c>
      <c r="AE128">
        <v>0</v>
      </c>
      <c r="AF128">
        <v>34.90909090909031</v>
      </c>
      <c r="AG128">
        <v>103.6363636363637</v>
      </c>
      <c r="AH128">
        <v>138.54545454545399</v>
      </c>
      <c r="AI128">
        <v>22.237388429752119</v>
      </c>
      <c r="AJ128">
        <v>7.1636363636363383</v>
      </c>
      <c r="AK128">
        <v>16.21818181818179</v>
      </c>
      <c r="AL128">
        <v>10.77325619834715</v>
      </c>
      <c r="AM128">
        <v>56.392462809917397</v>
      </c>
      <c r="AN128">
        <v>180</v>
      </c>
      <c r="AO128">
        <v>0</v>
      </c>
      <c r="AP128">
        <v>5.0181818181817812</v>
      </c>
      <c r="AQ128">
        <v>8.4436363636363243</v>
      </c>
      <c r="AR128">
        <v>14.247272727272749</v>
      </c>
      <c r="AS128">
        <v>27.512727272726629</v>
      </c>
      <c r="AT128">
        <v>3.5781818181817169</v>
      </c>
      <c r="AU128">
        <v>11.01818181818178</v>
      </c>
      <c r="AV128">
        <v>0</v>
      </c>
      <c r="AW128">
        <v>27.70909090909085</v>
      </c>
      <c r="AX128">
        <v>42.109090909090128</v>
      </c>
      <c r="AY128">
        <v>34.909090909090487</v>
      </c>
      <c r="AZ128">
        <v>27.709090909090762</v>
      </c>
      <c r="BA128">
        <v>42.109090909089893</v>
      </c>
      <c r="BB128">
        <v>34.909090909090317</v>
      </c>
      <c r="BC128">
        <v>13.756363636363311</v>
      </c>
      <c r="BD128">
        <v>4.2981818181817486</v>
      </c>
      <c r="BE128">
        <v>9.7309090909090532</v>
      </c>
      <c r="BF128">
        <v>7.1236363636363729</v>
      </c>
    </row>
    <row r="129" spans="1:58" x14ac:dyDescent="0.2">
      <c r="A129">
        <v>332</v>
      </c>
      <c r="B129">
        <v>25</v>
      </c>
      <c r="C129">
        <v>291.66666666666669</v>
      </c>
      <c r="D129">
        <v>250</v>
      </c>
      <c r="E129">
        <v>291.66666666666669</v>
      </c>
      <c r="F129">
        <f t="shared" si="23"/>
        <v>541.66666666666674</v>
      </c>
      <c r="G129">
        <f t="shared" si="23"/>
        <v>541.66666666666674</v>
      </c>
      <c r="H129">
        <v>791.66666666666674</v>
      </c>
      <c r="I129">
        <v>0.35</v>
      </c>
      <c r="J129">
        <v>0.25</v>
      </c>
      <c r="K129">
        <v>0.35</v>
      </c>
      <c r="L129">
        <f t="shared" si="13"/>
        <v>0.6</v>
      </c>
      <c r="M129">
        <f t="shared" si="14"/>
        <v>0.6</v>
      </c>
      <c r="N129">
        <v>0.95000000000000018</v>
      </c>
      <c r="O129">
        <f t="shared" si="15"/>
        <v>0.10000000000000003</v>
      </c>
      <c r="P129">
        <f t="shared" si="16"/>
        <v>9.9999999999999978E-2</v>
      </c>
      <c r="Q129">
        <f t="shared" si="17"/>
        <v>5.0000000000000044E-2</v>
      </c>
      <c r="R129">
        <f t="shared" si="17"/>
        <v>0</v>
      </c>
      <c r="S129">
        <f t="shared" si="18"/>
        <v>4.9999999999999933E-2</v>
      </c>
      <c r="T129">
        <f t="shared" si="19"/>
        <v>4.9999999999999822E-2</v>
      </c>
      <c r="U129">
        <f t="shared" si="20"/>
        <v>0.11180339887498944</v>
      </c>
      <c r="V129">
        <f t="shared" si="21"/>
        <v>0.15000000000000002</v>
      </c>
      <c r="W129">
        <f t="shared" si="22"/>
        <v>7.0710678118654585E-2</v>
      </c>
      <c r="X129">
        <v>0</v>
      </c>
      <c r="Y129">
        <v>43.2</v>
      </c>
      <c r="Z129">
        <v>34.799999999999997</v>
      </c>
      <c r="AA129">
        <v>103.2</v>
      </c>
      <c r="AB129">
        <v>0</v>
      </c>
      <c r="AC129">
        <v>0</v>
      </c>
      <c r="AD129">
        <v>0</v>
      </c>
      <c r="AE129">
        <v>0</v>
      </c>
      <c r="AF129">
        <v>29.99999999999967</v>
      </c>
      <c r="AG129">
        <v>114</v>
      </c>
      <c r="AH129">
        <v>143.99999999999969</v>
      </c>
      <c r="AI129">
        <v>19.256000000000011</v>
      </c>
      <c r="AJ129">
        <v>7.3999999999999861</v>
      </c>
      <c r="AK129">
        <v>15.19999999999999</v>
      </c>
      <c r="AL129">
        <v>6.4959999999999907</v>
      </c>
      <c r="AM129">
        <v>48.351999999999983</v>
      </c>
      <c r="AN129">
        <v>180</v>
      </c>
      <c r="AO129">
        <v>0</v>
      </c>
      <c r="AP129">
        <v>1.2</v>
      </c>
      <c r="AQ129">
        <v>8.6400000000000645</v>
      </c>
      <c r="AR129">
        <v>8.1599999999999362</v>
      </c>
      <c r="AS129">
        <v>24.719999999999629</v>
      </c>
      <c r="AT129">
        <v>7.6799999999998869</v>
      </c>
      <c r="AU129">
        <v>9.6</v>
      </c>
      <c r="AV129">
        <v>0</v>
      </c>
      <c r="AW129">
        <v>18</v>
      </c>
      <c r="AX129">
        <v>41.999999999999517</v>
      </c>
      <c r="AY129">
        <v>29.999999999999758</v>
      </c>
      <c r="AZ129">
        <v>17.999999999999829</v>
      </c>
      <c r="BA129">
        <v>41.999999999999517</v>
      </c>
      <c r="BB129">
        <v>29.99999999999967</v>
      </c>
      <c r="BC129">
        <v>12.359999999999809</v>
      </c>
      <c r="BD129">
        <v>4.4399999999999444</v>
      </c>
      <c r="BE129">
        <v>9.120000000000033</v>
      </c>
      <c r="BF129">
        <v>4.0799999999999681</v>
      </c>
    </row>
    <row r="130" spans="1:58" x14ac:dyDescent="0.2">
      <c r="A130">
        <v>332</v>
      </c>
      <c r="B130">
        <v>22.5</v>
      </c>
      <c r="C130">
        <v>291.66666666666669</v>
      </c>
      <c r="D130">
        <v>250</v>
      </c>
      <c r="E130">
        <v>291.66666666666669</v>
      </c>
      <c r="F130">
        <f t="shared" ref="F130:G157" si="24">C130+D130</f>
        <v>541.66666666666674</v>
      </c>
      <c r="G130">
        <f t="shared" si="24"/>
        <v>541.66666666666674</v>
      </c>
      <c r="H130">
        <v>791.66666666666674</v>
      </c>
      <c r="I130">
        <v>0.3888888888888889</v>
      </c>
      <c r="J130">
        <v>0.27777777777777779</v>
      </c>
      <c r="K130">
        <v>0.3888888888888889</v>
      </c>
      <c r="L130">
        <f t="shared" si="13"/>
        <v>0.66666666666666674</v>
      </c>
      <c r="M130">
        <f t="shared" si="14"/>
        <v>0.66666666666666674</v>
      </c>
      <c r="N130">
        <v>1.055555555555556</v>
      </c>
      <c r="O130">
        <f t="shared" si="15"/>
        <v>6.1111111111111116E-2</v>
      </c>
      <c r="P130">
        <f t="shared" si="16"/>
        <v>7.2222222222222188E-2</v>
      </c>
      <c r="Q130">
        <f t="shared" si="17"/>
        <v>1.1111111111111127E-2</v>
      </c>
      <c r="R130">
        <f t="shared" si="17"/>
        <v>6.6666666666666763E-2</v>
      </c>
      <c r="S130">
        <f t="shared" si="18"/>
        <v>0.1166666666666667</v>
      </c>
      <c r="T130">
        <f t="shared" si="19"/>
        <v>5.5555555555556024E-2</v>
      </c>
      <c r="U130">
        <f t="shared" si="20"/>
        <v>8.2589270818436464E-2</v>
      </c>
      <c r="V130">
        <f t="shared" si="21"/>
        <v>9.5257934441568007E-2</v>
      </c>
      <c r="W130">
        <f t="shared" si="22"/>
        <v>0.1454028036478047</v>
      </c>
      <c r="X130">
        <v>0</v>
      </c>
      <c r="Y130">
        <v>58.8</v>
      </c>
      <c r="Z130">
        <v>61.2</v>
      </c>
      <c r="AA130">
        <v>14.4</v>
      </c>
      <c r="AB130">
        <v>0</v>
      </c>
      <c r="AC130">
        <v>0</v>
      </c>
      <c r="AD130">
        <v>0</v>
      </c>
      <c r="AE130">
        <v>0</v>
      </c>
      <c r="AF130">
        <v>23.999999999999659</v>
      </c>
      <c r="AG130">
        <v>126.6666666666667</v>
      </c>
      <c r="AH130">
        <v>150.66666666666629</v>
      </c>
      <c r="AI130">
        <v>5.8114567901234508</v>
      </c>
      <c r="AJ130">
        <v>25.933333333333319</v>
      </c>
      <c r="AK130">
        <v>3.5777777777777882</v>
      </c>
      <c r="AL130">
        <v>4.0487901234567936</v>
      </c>
      <c r="AM130">
        <v>39.371358024691347</v>
      </c>
      <c r="AN130">
        <v>180</v>
      </c>
      <c r="AO130">
        <v>0</v>
      </c>
      <c r="AP130">
        <v>12.133333333333329</v>
      </c>
      <c r="AQ130">
        <v>4.1599999999998536</v>
      </c>
      <c r="AR130">
        <v>5.3066666666661657</v>
      </c>
      <c r="AS130">
        <v>7.280000000000129</v>
      </c>
      <c r="AT130">
        <v>18.986666666666618</v>
      </c>
      <c r="AU130">
        <v>0.1333333333333333</v>
      </c>
      <c r="AV130">
        <v>0</v>
      </c>
      <c r="AW130">
        <v>21.599999999999351</v>
      </c>
      <c r="AX130">
        <v>26.40000000000008</v>
      </c>
      <c r="AY130">
        <v>23.999999999999719</v>
      </c>
      <c r="AZ130">
        <v>21.5999999999995</v>
      </c>
      <c r="BA130">
        <v>26.399999999999821</v>
      </c>
      <c r="BB130">
        <v>23.999999999999659</v>
      </c>
      <c r="BC130">
        <v>3.640000000000065</v>
      </c>
      <c r="BD130">
        <v>15.559999999999979</v>
      </c>
      <c r="BE130">
        <v>2.1466666666665941</v>
      </c>
      <c r="BF130">
        <v>2.6533333333330829</v>
      </c>
    </row>
    <row r="131" spans="1:58" x14ac:dyDescent="0.2">
      <c r="A131">
        <v>332</v>
      </c>
      <c r="B131">
        <v>20</v>
      </c>
      <c r="C131">
        <v>291.66666666666669</v>
      </c>
      <c r="D131">
        <v>250</v>
      </c>
      <c r="E131">
        <v>291.66666666666669</v>
      </c>
      <c r="F131">
        <f t="shared" si="24"/>
        <v>541.66666666666674</v>
      </c>
      <c r="G131">
        <f t="shared" si="24"/>
        <v>541.66666666666674</v>
      </c>
      <c r="H131">
        <v>791.66666666666674</v>
      </c>
      <c r="I131">
        <v>0.43750000000000011</v>
      </c>
      <c r="J131">
        <v>0.31250000000000011</v>
      </c>
      <c r="K131">
        <v>0.43750000000000011</v>
      </c>
      <c r="L131">
        <f t="shared" ref="L131:L157" si="25">SUM(I131:J131)</f>
        <v>0.75000000000000022</v>
      </c>
      <c r="M131">
        <f t="shared" ref="M131:M157" si="26">SUM(J131:K131)</f>
        <v>0.75000000000000022</v>
      </c>
      <c r="N131">
        <v>1.1875</v>
      </c>
      <c r="O131">
        <f t="shared" ref="O131:O157" si="27">_xlfn.LET(_xlpm.x,MOD(I131,1),IF(OR(AND(_xlpm.x&gt;=0.45,_xlpm.x&lt;=0.55),_xlpm.x&gt;=0.95,_xlpm.x&lt;=0.05),0,IF(_xlpm.x&lt;0.45,MIN(0.45-_xlpm.x,_xlpm.x-0.05),MIN(_xlpm.x-0.55,0.95-_xlpm.x))))</f>
        <v>1.24999999999999E-2</v>
      </c>
      <c r="P131">
        <f t="shared" ref="P131:P157" si="28">_xlfn.LET(_xlpm.x,MOD(J131,1),IF(OR(AND(_xlpm.x&gt;=0.35,_xlpm.x&lt;=0.65),_xlpm.x&gt;=0.85,_xlpm.x&lt;=0.15),0,IF(_xlpm.x&lt;0.35,MIN(0.35-_xlpm.x,_xlpm.x-0.15),MIN(_xlpm.x-0.65,0.85-_xlpm.x))))</f>
        <v>3.7499999999999867E-2</v>
      </c>
      <c r="Q131">
        <f t="shared" ref="Q131:R157" si="29">_xlfn.LET(_xlpm.x,MOD(K131,1),IF(OR(AND(_xlpm.x&gt;=0.4,_xlpm.x&lt;=0.6),_xlpm.x&gt;=0.9,_xlpm.x&lt;=0.1),0,IF(_xlpm.x&lt;0.4,MIN(0.4-_xlpm.x,_xlpm.x-0.1),MIN(_xlpm.x-0.6,0.9-_xlpm.x))))</f>
        <v>0</v>
      </c>
      <c r="R131">
        <f t="shared" si="29"/>
        <v>0.1499999999999998</v>
      </c>
      <c r="S131">
        <f t="shared" ref="S131:S157" si="30">_xlfn.LET(_xlpm.x,MOD(M131,1),IF(OR(AND(_xlpm.x&gt;=0.45,_xlpm.x&lt;=0.55),_xlpm.x&gt;=0.95,_xlpm.x&lt;=0.05),0,IF(_xlpm.x&lt;0.45,MIN(0.45-_xlpm.x,_xlpm.x-0.05),MIN(_xlpm.x-0.55,0.95-_xlpm.x))))</f>
        <v>0.19999999999999973</v>
      </c>
      <c r="T131">
        <f t="shared" ref="T131:T157" si="31">_xlfn.LET(_xlpm.x,MOD(N131,1),MIN(MIN(_xlpm.x,1-_xlpm.x),ABS(_xlpm.x-0.5)))</f>
        <v>0.1875</v>
      </c>
      <c r="U131">
        <f t="shared" ref="U131:U157" si="32">SQRT(SUMSQ(O131,T131))</f>
        <v>0.18791620472966133</v>
      </c>
      <c r="V131">
        <f t="shared" ref="V131:V157" si="33">SQRT(SUMSQ(O131:Q131))</f>
        <v>3.9528470752104583E-2</v>
      </c>
      <c r="W131">
        <f t="shared" ref="W131:W157" si="34">SQRT(SUMSQ(R131:T131))</f>
        <v>0.31249999999999972</v>
      </c>
      <c r="X131">
        <v>0</v>
      </c>
      <c r="Y131">
        <v>55.2</v>
      </c>
      <c r="Z131">
        <v>22.8</v>
      </c>
      <c r="AA131">
        <v>98.399999999999991</v>
      </c>
      <c r="AB131">
        <v>0</v>
      </c>
      <c r="AC131">
        <v>0</v>
      </c>
      <c r="AD131">
        <v>0</v>
      </c>
      <c r="AE131">
        <v>0</v>
      </c>
      <c r="AF131">
        <v>25.499999999999758</v>
      </c>
      <c r="AG131">
        <v>142.5</v>
      </c>
      <c r="AH131">
        <v>167.9999999999998</v>
      </c>
      <c r="AI131">
        <v>0.40100000000000341</v>
      </c>
      <c r="AJ131">
        <v>3.0499999999999772</v>
      </c>
      <c r="AK131">
        <v>22.95000000000001</v>
      </c>
      <c r="AL131">
        <v>16.050000000000029</v>
      </c>
      <c r="AM131">
        <v>42.451000000000022</v>
      </c>
      <c r="AN131">
        <v>180</v>
      </c>
      <c r="AO131">
        <v>0</v>
      </c>
      <c r="AP131">
        <v>2.7</v>
      </c>
      <c r="AQ131">
        <v>27.539999999999981</v>
      </c>
      <c r="AR131">
        <v>19.260000000000179</v>
      </c>
      <c r="AS131">
        <v>0.53999999999974135</v>
      </c>
      <c r="AT131">
        <v>0.95999999999985453</v>
      </c>
      <c r="AU131">
        <v>0</v>
      </c>
      <c r="AV131">
        <v>0</v>
      </c>
      <c r="AW131">
        <v>49.500000000000163</v>
      </c>
      <c r="AX131">
        <v>1.4999999999995961</v>
      </c>
      <c r="AY131">
        <v>25.499999999999879</v>
      </c>
      <c r="AZ131">
        <v>49.5</v>
      </c>
      <c r="BA131">
        <v>1.4999999999995171</v>
      </c>
      <c r="BB131">
        <v>25.499999999999758</v>
      </c>
      <c r="BC131">
        <v>0.26999999999987068</v>
      </c>
      <c r="BD131">
        <v>1.829999999999927</v>
      </c>
      <c r="BE131">
        <v>13.769999999999991</v>
      </c>
      <c r="BF131">
        <v>9.6300000000000896</v>
      </c>
    </row>
    <row r="132" spans="1:58" x14ac:dyDescent="0.2">
      <c r="A132">
        <v>333</v>
      </c>
      <c r="B132">
        <v>50</v>
      </c>
      <c r="C132">
        <v>375</v>
      </c>
      <c r="D132">
        <v>250</v>
      </c>
      <c r="E132">
        <v>375</v>
      </c>
      <c r="F132">
        <f t="shared" si="24"/>
        <v>625</v>
      </c>
      <c r="G132">
        <f t="shared" si="24"/>
        <v>625</v>
      </c>
      <c r="H132">
        <v>958.33333333333337</v>
      </c>
      <c r="I132">
        <v>0.22500000000000001</v>
      </c>
      <c r="J132">
        <v>0.125</v>
      </c>
      <c r="K132">
        <v>0.22500000000000001</v>
      </c>
      <c r="L132">
        <f t="shared" si="25"/>
        <v>0.35</v>
      </c>
      <c r="M132">
        <f t="shared" si="26"/>
        <v>0.35</v>
      </c>
      <c r="N132">
        <v>0.57499999999999996</v>
      </c>
      <c r="O132">
        <f t="shared" si="27"/>
        <v>0.17499999999999999</v>
      </c>
      <c r="P132">
        <f t="shared" si="28"/>
        <v>0</v>
      </c>
      <c r="Q132">
        <f t="shared" si="29"/>
        <v>0.125</v>
      </c>
      <c r="R132">
        <f t="shared" si="29"/>
        <v>5.0000000000000044E-2</v>
      </c>
      <c r="S132">
        <f t="shared" si="30"/>
        <v>0.10000000000000003</v>
      </c>
      <c r="T132">
        <f t="shared" si="31"/>
        <v>7.4999999999999956E-2</v>
      </c>
      <c r="U132">
        <f t="shared" si="32"/>
        <v>0.19039432764659769</v>
      </c>
      <c r="V132">
        <f t="shared" si="33"/>
        <v>0.21505813167606566</v>
      </c>
      <c r="W132">
        <f t="shared" si="34"/>
        <v>0.13462912017836262</v>
      </c>
      <c r="X132">
        <v>0</v>
      </c>
      <c r="Y132">
        <v>10.8</v>
      </c>
      <c r="Z132">
        <v>33.6</v>
      </c>
      <c r="AA132">
        <v>64.8</v>
      </c>
      <c r="AB132">
        <v>0</v>
      </c>
      <c r="AC132">
        <v>0</v>
      </c>
      <c r="AD132">
        <v>0</v>
      </c>
      <c r="AE132">
        <v>0</v>
      </c>
      <c r="AF132">
        <v>32.999999999999758</v>
      </c>
      <c r="AG132">
        <v>69</v>
      </c>
      <c r="AH132">
        <v>101.9999999999998</v>
      </c>
      <c r="AI132">
        <v>25.8</v>
      </c>
      <c r="AJ132">
        <v>11.400000000000009</v>
      </c>
      <c r="AK132">
        <v>17.555</v>
      </c>
      <c r="AL132">
        <v>0.244999999999996</v>
      </c>
      <c r="AM132">
        <v>55.000000000000007</v>
      </c>
      <c r="AN132">
        <v>180</v>
      </c>
      <c r="AO132">
        <v>0</v>
      </c>
      <c r="AP132">
        <v>3.359999999999935</v>
      </c>
      <c r="AQ132">
        <v>0.54599999999991267</v>
      </c>
      <c r="AR132">
        <v>0.29399999999999032</v>
      </c>
      <c r="AS132">
        <v>30.95999999999994</v>
      </c>
      <c r="AT132">
        <v>10.32000000000019</v>
      </c>
      <c r="AU132">
        <v>20.51999999999979</v>
      </c>
      <c r="AV132">
        <v>0</v>
      </c>
      <c r="AW132">
        <v>4.1999999999998394</v>
      </c>
      <c r="AX132">
        <v>61.799999999999919</v>
      </c>
      <c r="AY132">
        <v>32.999999999999879</v>
      </c>
      <c r="AZ132">
        <v>4.1999999999997613</v>
      </c>
      <c r="BA132">
        <v>61.799999999999763</v>
      </c>
      <c r="BB132">
        <v>32.999999999999758</v>
      </c>
      <c r="BC132">
        <v>15.47999999999997</v>
      </c>
      <c r="BD132">
        <v>6.8400000000000647</v>
      </c>
      <c r="BE132">
        <v>10.53299999999985</v>
      </c>
      <c r="BF132">
        <v>0.14699999999999519</v>
      </c>
    </row>
    <row r="133" spans="1:58" x14ac:dyDescent="0.2">
      <c r="A133">
        <v>333</v>
      </c>
      <c r="B133">
        <v>47.5</v>
      </c>
      <c r="C133">
        <v>375</v>
      </c>
      <c r="D133">
        <v>250</v>
      </c>
      <c r="E133">
        <v>375</v>
      </c>
      <c r="F133">
        <f t="shared" si="24"/>
        <v>625</v>
      </c>
      <c r="G133">
        <f t="shared" si="24"/>
        <v>625</v>
      </c>
      <c r="H133">
        <v>958.33333333333337</v>
      </c>
      <c r="I133">
        <v>0.23684210526315791</v>
      </c>
      <c r="J133">
        <v>0.1315789473684211</v>
      </c>
      <c r="K133">
        <v>0.23684210526315791</v>
      </c>
      <c r="L133">
        <f t="shared" si="25"/>
        <v>0.36842105263157898</v>
      </c>
      <c r="M133">
        <f t="shared" si="26"/>
        <v>0.36842105263157898</v>
      </c>
      <c r="N133">
        <v>0.60526315789473695</v>
      </c>
      <c r="O133">
        <f t="shared" si="27"/>
        <v>0.18684210526315792</v>
      </c>
      <c r="P133">
        <f t="shared" si="28"/>
        <v>0</v>
      </c>
      <c r="Q133">
        <f t="shared" si="29"/>
        <v>0.1368421052631579</v>
      </c>
      <c r="R133">
        <f t="shared" si="29"/>
        <v>3.157894736842104E-2</v>
      </c>
      <c r="S133">
        <f t="shared" si="30"/>
        <v>8.1578947368421029E-2</v>
      </c>
      <c r="T133">
        <f t="shared" si="31"/>
        <v>0.10526315789473695</v>
      </c>
      <c r="U133">
        <f t="shared" si="32"/>
        <v>0.21445350244083519</v>
      </c>
      <c r="V133">
        <f t="shared" si="33"/>
        <v>0.23159389903886107</v>
      </c>
      <c r="W133">
        <f t="shared" si="34"/>
        <v>0.13686740656785104</v>
      </c>
      <c r="X133">
        <v>0</v>
      </c>
      <c r="Y133">
        <v>7.1999999999999993</v>
      </c>
      <c r="Z133">
        <v>31.2</v>
      </c>
      <c r="AA133">
        <v>61.2</v>
      </c>
      <c r="AB133">
        <v>0</v>
      </c>
      <c r="AC133">
        <v>0</v>
      </c>
      <c r="AD133">
        <v>0</v>
      </c>
      <c r="AE133">
        <v>0</v>
      </c>
      <c r="AF133">
        <v>36.631578947368261</v>
      </c>
      <c r="AG133">
        <v>72.631578947368425</v>
      </c>
      <c r="AH133">
        <v>109.26315789473669</v>
      </c>
      <c r="AI133">
        <v>23.749584487534619</v>
      </c>
      <c r="AJ133">
        <v>15.990304709141281</v>
      </c>
      <c r="AK133">
        <v>18.26204986149585</v>
      </c>
      <c r="AL133">
        <v>2.3274238227146919</v>
      </c>
      <c r="AM133">
        <v>60.32936288088645</v>
      </c>
      <c r="AN133">
        <v>180</v>
      </c>
      <c r="AO133">
        <v>0</v>
      </c>
      <c r="AP133">
        <v>7.3768421052630906</v>
      </c>
      <c r="AQ133">
        <v>1.261828254847609</v>
      </c>
      <c r="AR133">
        <v>2.7929085872576662</v>
      </c>
      <c r="AS133">
        <v>29.178947368421031</v>
      </c>
      <c r="AT133">
        <v>12</v>
      </c>
      <c r="AU133">
        <v>20.652631578947329</v>
      </c>
      <c r="AV133">
        <v>0</v>
      </c>
      <c r="AW133">
        <v>11.43157894736837</v>
      </c>
      <c r="AX133">
        <v>61.831578947368357</v>
      </c>
      <c r="AY133">
        <v>36.631578947368368</v>
      </c>
      <c r="AZ133">
        <v>11.431578947368459</v>
      </c>
      <c r="BA133">
        <v>61.8315789473683</v>
      </c>
      <c r="BB133">
        <v>36.631578947368382</v>
      </c>
      <c r="BC133">
        <v>14.589473684210519</v>
      </c>
      <c r="BD133">
        <v>9.6884210526315453</v>
      </c>
      <c r="BE133">
        <v>10.95722991689747</v>
      </c>
      <c r="BF133">
        <v>1.3964542936288331</v>
      </c>
    </row>
    <row r="134" spans="1:58" x14ac:dyDescent="0.2">
      <c r="A134">
        <v>333</v>
      </c>
      <c r="B134">
        <v>45</v>
      </c>
      <c r="C134">
        <v>375</v>
      </c>
      <c r="D134">
        <v>250</v>
      </c>
      <c r="E134">
        <v>375</v>
      </c>
      <c r="F134">
        <f t="shared" si="24"/>
        <v>625</v>
      </c>
      <c r="G134">
        <f t="shared" si="24"/>
        <v>625</v>
      </c>
      <c r="H134">
        <v>958.33333333333337</v>
      </c>
      <c r="I134">
        <v>0.25</v>
      </c>
      <c r="J134">
        <v>0.1388888888888889</v>
      </c>
      <c r="K134">
        <v>0.25</v>
      </c>
      <c r="L134">
        <f t="shared" si="25"/>
        <v>0.3888888888888889</v>
      </c>
      <c r="M134">
        <f t="shared" si="26"/>
        <v>0.3888888888888889</v>
      </c>
      <c r="N134">
        <v>0.63888888888888884</v>
      </c>
      <c r="O134">
        <f t="shared" si="27"/>
        <v>0.2</v>
      </c>
      <c r="P134">
        <f t="shared" si="28"/>
        <v>0</v>
      </c>
      <c r="Q134">
        <f t="shared" si="29"/>
        <v>0.15</v>
      </c>
      <c r="R134">
        <f t="shared" si="29"/>
        <v>1.1111111111111127E-2</v>
      </c>
      <c r="S134">
        <f t="shared" si="30"/>
        <v>6.1111111111111116E-2</v>
      </c>
      <c r="T134">
        <f t="shared" si="31"/>
        <v>0.13888888888888884</v>
      </c>
      <c r="U134">
        <f t="shared" si="32"/>
        <v>0.24349563334234584</v>
      </c>
      <c r="V134">
        <f t="shared" si="33"/>
        <v>0.25</v>
      </c>
      <c r="W134">
        <f t="shared" si="34"/>
        <v>0.15214515486254609</v>
      </c>
      <c r="X134">
        <v>0</v>
      </c>
      <c r="Y134">
        <v>16.8</v>
      </c>
      <c r="Z134">
        <v>43.2</v>
      </c>
      <c r="AA134">
        <v>74.399999999999991</v>
      </c>
      <c r="AB134">
        <v>0</v>
      </c>
      <c r="AC134">
        <v>0</v>
      </c>
      <c r="AD134">
        <v>0</v>
      </c>
      <c r="AE134">
        <v>0</v>
      </c>
      <c r="AF134">
        <v>40.666666666666167</v>
      </c>
      <c r="AG134">
        <v>76.666666666666671</v>
      </c>
      <c r="AH134">
        <v>117.3333333333328</v>
      </c>
      <c r="AI134">
        <v>32.135604938271626</v>
      </c>
      <c r="AJ134">
        <v>13.38755555555557</v>
      </c>
      <c r="AK134">
        <v>18.762222222222221</v>
      </c>
      <c r="AL134">
        <v>0.92666666666668107</v>
      </c>
      <c r="AM134">
        <v>65.212049382716089</v>
      </c>
      <c r="AN134">
        <v>180</v>
      </c>
      <c r="AO134">
        <v>0</v>
      </c>
      <c r="AP134">
        <v>0.960000000000097</v>
      </c>
      <c r="AQ134">
        <v>0.19466666666655019</v>
      </c>
      <c r="AR134">
        <v>1.1119999999996959</v>
      </c>
      <c r="AS134">
        <v>41.0133333333333</v>
      </c>
      <c r="AT134">
        <v>15.733333333333411</v>
      </c>
      <c r="AU134">
        <v>22.319999999999951</v>
      </c>
      <c r="AV134">
        <v>0</v>
      </c>
      <c r="AW134">
        <v>2.2666666666663429</v>
      </c>
      <c r="AX134">
        <v>79.066666666666663</v>
      </c>
      <c r="AY134">
        <v>40.666666666666501</v>
      </c>
      <c r="AZ134">
        <v>2.2666666666661972</v>
      </c>
      <c r="BA134">
        <v>79.066666666666521</v>
      </c>
      <c r="BB134">
        <v>40.666666666666359</v>
      </c>
      <c r="BC134">
        <v>20.50666666666665</v>
      </c>
      <c r="BD134">
        <v>8.3466666666667564</v>
      </c>
      <c r="BE134">
        <v>11.25733333333325</v>
      </c>
      <c r="BF134">
        <v>0.55599999999984806</v>
      </c>
    </row>
    <row r="135" spans="1:58" x14ac:dyDescent="0.2">
      <c r="A135">
        <v>333</v>
      </c>
      <c r="B135">
        <v>42.5</v>
      </c>
      <c r="C135">
        <v>375</v>
      </c>
      <c r="D135">
        <v>250</v>
      </c>
      <c r="E135">
        <v>375</v>
      </c>
      <c r="F135">
        <f t="shared" si="24"/>
        <v>625</v>
      </c>
      <c r="G135">
        <f t="shared" si="24"/>
        <v>625</v>
      </c>
      <c r="H135">
        <v>958.33333333333337</v>
      </c>
      <c r="I135">
        <v>0.26470588235294118</v>
      </c>
      <c r="J135">
        <v>0.1470588235294118</v>
      </c>
      <c r="K135">
        <v>0.26470588235294118</v>
      </c>
      <c r="L135">
        <f t="shared" si="25"/>
        <v>0.41176470588235298</v>
      </c>
      <c r="M135">
        <f t="shared" si="26"/>
        <v>0.41176470588235298</v>
      </c>
      <c r="N135">
        <v>0.67647058823529416</v>
      </c>
      <c r="O135">
        <f t="shared" si="27"/>
        <v>0.18529411764705883</v>
      </c>
      <c r="P135">
        <f t="shared" si="28"/>
        <v>0</v>
      </c>
      <c r="Q135">
        <f t="shared" si="29"/>
        <v>0.13529411764705884</v>
      </c>
      <c r="R135">
        <f t="shared" si="29"/>
        <v>0</v>
      </c>
      <c r="S135">
        <f t="shared" si="30"/>
        <v>3.8235294117647034E-2</v>
      </c>
      <c r="T135">
        <f t="shared" si="31"/>
        <v>0.17647058823529416</v>
      </c>
      <c r="U135">
        <f t="shared" si="32"/>
        <v>0.25588235294117651</v>
      </c>
      <c r="V135">
        <f t="shared" si="33"/>
        <v>0.22943061762654582</v>
      </c>
      <c r="W135">
        <f t="shared" si="34"/>
        <v>0.18056524091965684</v>
      </c>
      <c r="X135">
        <v>0</v>
      </c>
      <c r="Y135">
        <v>48</v>
      </c>
      <c r="Z135">
        <v>42</v>
      </c>
      <c r="AA135">
        <v>9.6</v>
      </c>
      <c r="AB135">
        <v>0</v>
      </c>
      <c r="AC135">
        <v>0</v>
      </c>
      <c r="AD135">
        <v>0</v>
      </c>
      <c r="AE135">
        <v>0</v>
      </c>
      <c r="AF135">
        <v>38.823529411764653</v>
      </c>
      <c r="AG135">
        <v>81.176470588235304</v>
      </c>
      <c r="AH135">
        <v>120</v>
      </c>
      <c r="AI135">
        <v>23.823529411764721</v>
      </c>
      <c r="AJ135">
        <v>13.529411764705889</v>
      </c>
      <c r="AK135">
        <v>0.52941176470587581</v>
      </c>
      <c r="AL135">
        <v>26.823529411764731</v>
      </c>
      <c r="AM135">
        <v>64.705882352941217</v>
      </c>
      <c r="AN135">
        <v>180</v>
      </c>
      <c r="AO135">
        <v>0</v>
      </c>
      <c r="AP135">
        <v>16.23529411764709</v>
      </c>
      <c r="AQ135">
        <v>0</v>
      </c>
      <c r="AR135">
        <v>32.188235294117547</v>
      </c>
      <c r="AS135">
        <v>28.588235294117641</v>
      </c>
      <c r="AT135">
        <v>0</v>
      </c>
      <c r="AU135">
        <v>0.63529411764708732</v>
      </c>
      <c r="AV135">
        <v>0</v>
      </c>
      <c r="AW135">
        <v>48.42352941176464</v>
      </c>
      <c r="AX135">
        <v>29.22352941176473</v>
      </c>
      <c r="AY135">
        <v>38.823529411764682</v>
      </c>
      <c r="AZ135">
        <v>48.423529411764619</v>
      </c>
      <c r="BA135">
        <v>29.223529411764719</v>
      </c>
      <c r="BB135">
        <v>38.823529411764667</v>
      </c>
      <c r="BC135">
        <v>14.294117647058821</v>
      </c>
      <c r="BD135">
        <v>8.1176470588235432</v>
      </c>
      <c r="BE135">
        <v>0.31764705882354372</v>
      </c>
      <c r="BF135">
        <v>16.094117647058781</v>
      </c>
    </row>
    <row r="136" spans="1:58" x14ac:dyDescent="0.2">
      <c r="A136">
        <v>333</v>
      </c>
      <c r="B136">
        <v>40</v>
      </c>
      <c r="C136">
        <v>375</v>
      </c>
      <c r="D136">
        <v>250</v>
      </c>
      <c r="E136">
        <v>375</v>
      </c>
      <c r="F136">
        <f t="shared" si="24"/>
        <v>625</v>
      </c>
      <c r="G136">
        <f t="shared" si="24"/>
        <v>625</v>
      </c>
      <c r="H136">
        <v>958.33333333333337</v>
      </c>
      <c r="I136">
        <v>0.28125</v>
      </c>
      <c r="J136">
        <v>0.15625</v>
      </c>
      <c r="K136">
        <v>0.28125</v>
      </c>
      <c r="L136">
        <f t="shared" si="25"/>
        <v>0.4375</v>
      </c>
      <c r="M136">
        <f t="shared" si="26"/>
        <v>0.4375</v>
      </c>
      <c r="N136">
        <v>0.71875</v>
      </c>
      <c r="O136">
        <f t="shared" si="27"/>
        <v>0.16875000000000001</v>
      </c>
      <c r="P136">
        <f t="shared" si="28"/>
        <v>6.2500000000000056E-3</v>
      </c>
      <c r="Q136">
        <f t="shared" si="29"/>
        <v>0.11875000000000002</v>
      </c>
      <c r="R136">
        <f t="shared" si="29"/>
        <v>0</v>
      </c>
      <c r="S136">
        <f t="shared" si="30"/>
        <v>1.2500000000000011E-2</v>
      </c>
      <c r="T136">
        <f t="shared" si="31"/>
        <v>0.21875</v>
      </c>
      <c r="U136">
        <f t="shared" si="32"/>
        <v>0.27627545131625431</v>
      </c>
      <c r="V136">
        <f t="shared" si="33"/>
        <v>0.20643930706142183</v>
      </c>
      <c r="W136">
        <f t="shared" si="34"/>
        <v>0.21910685178697631</v>
      </c>
      <c r="X136">
        <v>0</v>
      </c>
      <c r="Y136">
        <v>46.8</v>
      </c>
      <c r="Z136">
        <v>40.799999999999997</v>
      </c>
      <c r="AA136">
        <v>3.6</v>
      </c>
      <c r="AB136">
        <v>0</v>
      </c>
      <c r="AC136">
        <v>0</v>
      </c>
      <c r="AD136">
        <v>0</v>
      </c>
      <c r="AE136">
        <v>0</v>
      </c>
      <c r="AF136">
        <v>35.249999999999922</v>
      </c>
      <c r="AG136">
        <v>86.25</v>
      </c>
      <c r="AH136">
        <v>121.4999999999999</v>
      </c>
      <c r="AI136">
        <v>22.876562499999999</v>
      </c>
      <c r="AJ136">
        <v>11.375</v>
      </c>
      <c r="AK136">
        <v>3.249999999999988</v>
      </c>
      <c r="AL136">
        <v>21.001562500000009</v>
      </c>
      <c r="AM136">
        <v>58.50312499999999</v>
      </c>
      <c r="AN136">
        <v>180</v>
      </c>
      <c r="AO136">
        <v>0</v>
      </c>
      <c r="AP136">
        <v>13.05</v>
      </c>
      <c r="AQ136">
        <v>0.45</v>
      </c>
      <c r="AR136">
        <v>25.35</v>
      </c>
      <c r="AS136">
        <v>27.600000000000161</v>
      </c>
      <c r="AT136">
        <v>0.6</v>
      </c>
      <c r="AU136">
        <v>3.45</v>
      </c>
      <c r="AV136">
        <v>0</v>
      </c>
      <c r="AW136">
        <v>38.85</v>
      </c>
      <c r="AX136">
        <v>31.650000000000158</v>
      </c>
      <c r="AY136">
        <v>35.250000000000092</v>
      </c>
      <c r="AZ136">
        <v>38.849999999999838</v>
      </c>
      <c r="BA136">
        <v>31.650000000000009</v>
      </c>
      <c r="BB136">
        <v>35.249999999999922</v>
      </c>
      <c r="BC136">
        <v>13.800000000000081</v>
      </c>
      <c r="BD136">
        <v>6.8250000000000002</v>
      </c>
      <c r="BE136">
        <v>1.95</v>
      </c>
      <c r="BF136">
        <v>12.675000000000001</v>
      </c>
    </row>
    <row r="137" spans="1:58" x14ac:dyDescent="0.2">
      <c r="A137">
        <v>333</v>
      </c>
      <c r="B137">
        <v>37.5</v>
      </c>
      <c r="C137">
        <v>375</v>
      </c>
      <c r="D137">
        <v>250</v>
      </c>
      <c r="E137">
        <v>375</v>
      </c>
      <c r="F137">
        <f t="shared" si="24"/>
        <v>625</v>
      </c>
      <c r="G137">
        <f t="shared" si="24"/>
        <v>625</v>
      </c>
      <c r="H137">
        <v>958.33333333333337</v>
      </c>
      <c r="I137">
        <v>0.3</v>
      </c>
      <c r="J137">
        <v>0.16666666666666671</v>
      </c>
      <c r="K137">
        <v>0.3</v>
      </c>
      <c r="L137">
        <f t="shared" si="25"/>
        <v>0.46666666666666667</v>
      </c>
      <c r="M137">
        <f t="shared" si="26"/>
        <v>0.46666666666666667</v>
      </c>
      <c r="N137">
        <v>0.76666666666666661</v>
      </c>
      <c r="O137">
        <f t="shared" si="27"/>
        <v>0.15000000000000002</v>
      </c>
      <c r="P137">
        <f t="shared" si="28"/>
        <v>1.6666666666666718E-2</v>
      </c>
      <c r="Q137">
        <f t="shared" si="29"/>
        <v>0.10000000000000003</v>
      </c>
      <c r="R137">
        <f t="shared" si="29"/>
        <v>0</v>
      </c>
      <c r="S137">
        <f t="shared" si="30"/>
        <v>0</v>
      </c>
      <c r="T137">
        <f t="shared" si="31"/>
        <v>0.23333333333333339</v>
      </c>
      <c r="U137">
        <f t="shared" si="32"/>
        <v>0.27738861628488737</v>
      </c>
      <c r="V137">
        <f t="shared" si="33"/>
        <v>0.18104634152000365</v>
      </c>
      <c r="W137">
        <f t="shared" si="34"/>
        <v>0.23333333333333339</v>
      </c>
      <c r="X137">
        <v>0</v>
      </c>
      <c r="Y137">
        <v>37.200000000000003</v>
      </c>
      <c r="Z137">
        <v>32.4</v>
      </c>
      <c r="AA137">
        <v>103.2</v>
      </c>
      <c r="AB137">
        <v>0</v>
      </c>
      <c r="AC137">
        <v>0</v>
      </c>
      <c r="AD137">
        <v>0</v>
      </c>
      <c r="AE137">
        <v>0</v>
      </c>
      <c r="AF137">
        <v>31.999999999999719</v>
      </c>
      <c r="AG137">
        <v>92</v>
      </c>
      <c r="AH137">
        <v>123.9999999999997</v>
      </c>
      <c r="AI137">
        <v>29.028444444444471</v>
      </c>
      <c r="AJ137">
        <v>3.1333333333333311</v>
      </c>
      <c r="AK137">
        <v>11.39999999999999</v>
      </c>
      <c r="AL137">
        <v>9.1351111111111187</v>
      </c>
      <c r="AM137">
        <v>52.696888888888907</v>
      </c>
      <c r="AN137">
        <v>180</v>
      </c>
      <c r="AO137">
        <v>0</v>
      </c>
      <c r="AP137">
        <v>1.2</v>
      </c>
      <c r="AQ137">
        <v>0.48000000000012932</v>
      </c>
      <c r="AR137">
        <v>11.11999999999971</v>
      </c>
      <c r="AS137">
        <v>35.439999999999657</v>
      </c>
      <c r="AT137">
        <v>2.5599999999998539</v>
      </c>
      <c r="AU137">
        <v>13.199999999999919</v>
      </c>
      <c r="AV137">
        <v>0</v>
      </c>
      <c r="AW137">
        <v>12.799999999999841</v>
      </c>
      <c r="AX137">
        <v>51.199999999999427</v>
      </c>
      <c r="AY137">
        <v>31.999999999999641</v>
      </c>
      <c r="AZ137">
        <v>12.79999999999993</v>
      </c>
      <c r="BA137">
        <v>51.199999999999513</v>
      </c>
      <c r="BB137">
        <v>31.999999999999719</v>
      </c>
      <c r="BC137">
        <v>17.719999999999828</v>
      </c>
      <c r="BD137">
        <v>1.8799999999999271</v>
      </c>
      <c r="BE137">
        <v>6.8400000000000247</v>
      </c>
      <c r="BF137">
        <v>5.5599999999998548</v>
      </c>
    </row>
    <row r="138" spans="1:58" x14ac:dyDescent="0.2">
      <c r="A138">
        <v>333</v>
      </c>
      <c r="B138">
        <v>35</v>
      </c>
      <c r="C138">
        <v>375</v>
      </c>
      <c r="D138">
        <v>250</v>
      </c>
      <c r="E138">
        <v>375</v>
      </c>
      <c r="F138">
        <f t="shared" si="24"/>
        <v>625</v>
      </c>
      <c r="G138">
        <f t="shared" si="24"/>
        <v>625</v>
      </c>
      <c r="H138">
        <v>958.33333333333337</v>
      </c>
      <c r="I138">
        <v>0.3214285714285714</v>
      </c>
      <c r="J138">
        <v>0.1785714285714286</v>
      </c>
      <c r="K138">
        <v>0.3214285714285714</v>
      </c>
      <c r="L138">
        <f t="shared" si="25"/>
        <v>0.5</v>
      </c>
      <c r="M138">
        <f t="shared" si="26"/>
        <v>0.5</v>
      </c>
      <c r="N138">
        <v>0.8214285714285714</v>
      </c>
      <c r="O138">
        <f t="shared" si="27"/>
        <v>0.12857142857142861</v>
      </c>
      <c r="P138">
        <f t="shared" si="28"/>
        <v>2.8571428571428609E-2</v>
      </c>
      <c r="Q138">
        <f t="shared" si="29"/>
        <v>7.8571428571428625E-2</v>
      </c>
      <c r="R138">
        <f t="shared" si="29"/>
        <v>0</v>
      </c>
      <c r="S138">
        <f t="shared" si="30"/>
        <v>0</v>
      </c>
      <c r="T138">
        <f t="shared" si="31"/>
        <v>0.1785714285714286</v>
      </c>
      <c r="U138">
        <f t="shared" si="32"/>
        <v>0.22004174001070526</v>
      </c>
      <c r="V138">
        <f t="shared" si="33"/>
        <v>0.15336364681131356</v>
      </c>
      <c r="W138">
        <f t="shared" si="34"/>
        <v>0.1785714285714286</v>
      </c>
      <c r="X138">
        <v>0</v>
      </c>
      <c r="Y138">
        <v>55.2</v>
      </c>
      <c r="Z138">
        <v>46.8</v>
      </c>
      <c r="AA138">
        <v>4.8</v>
      </c>
      <c r="AB138">
        <v>0</v>
      </c>
      <c r="AC138">
        <v>0</v>
      </c>
      <c r="AD138">
        <v>0</v>
      </c>
      <c r="AE138">
        <v>0</v>
      </c>
      <c r="AF138">
        <v>28.285714285713961</v>
      </c>
      <c r="AG138">
        <v>98.571428571428584</v>
      </c>
      <c r="AH138">
        <v>126.85714285714251</v>
      </c>
      <c r="AI138">
        <v>11.86008163265307</v>
      </c>
      <c r="AJ138">
        <v>14.542857142857139</v>
      </c>
      <c r="AK138">
        <v>5.7714285714285678</v>
      </c>
      <c r="AL138">
        <v>13.9229387755102</v>
      </c>
      <c r="AM138">
        <v>46.097306122448963</v>
      </c>
      <c r="AN138">
        <v>180</v>
      </c>
      <c r="AO138">
        <v>0</v>
      </c>
      <c r="AP138">
        <v>16.628571428571501</v>
      </c>
      <c r="AQ138">
        <v>3.4971428571428178</v>
      </c>
      <c r="AR138">
        <v>17.760000000000179</v>
      </c>
      <c r="AS138">
        <v>14.4342857142853</v>
      </c>
      <c r="AT138">
        <v>0.82285714285713363</v>
      </c>
      <c r="AU138">
        <v>3.4285714285714981</v>
      </c>
      <c r="AV138">
        <v>0</v>
      </c>
      <c r="AW138">
        <v>37.885714285714499</v>
      </c>
      <c r="AX138">
        <v>18.685714285713932</v>
      </c>
      <c r="AY138">
        <v>28.28571428571421</v>
      </c>
      <c r="AZ138">
        <v>37.885714285714329</v>
      </c>
      <c r="BA138">
        <v>18.685714285713601</v>
      </c>
      <c r="BB138">
        <v>28.285714285713961</v>
      </c>
      <c r="BC138">
        <v>7.2171428571426484</v>
      </c>
      <c r="BD138">
        <v>8.7257142857143162</v>
      </c>
      <c r="BE138">
        <v>3.4628571428571582</v>
      </c>
      <c r="BF138">
        <v>8.8800000000000896</v>
      </c>
    </row>
    <row r="139" spans="1:58" x14ac:dyDescent="0.2">
      <c r="A139">
        <v>333</v>
      </c>
      <c r="B139">
        <v>32.5</v>
      </c>
      <c r="C139">
        <v>375</v>
      </c>
      <c r="D139">
        <v>250</v>
      </c>
      <c r="E139">
        <v>375</v>
      </c>
      <c r="F139">
        <f t="shared" si="24"/>
        <v>625</v>
      </c>
      <c r="G139">
        <f t="shared" si="24"/>
        <v>625</v>
      </c>
      <c r="H139">
        <v>958.33333333333337</v>
      </c>
      <c r="I139">
        <v>0.3461538461538462</v>
      </c>
      <c r="J139">
        <v>0.19230769230769229</v>
      </c>
      <c r="K139">
        <v>0.3461538461538462</v>
      </c>
      <c r="L139">
        <f t="shared" si="25"/>
        <v>0.53846153846153855</v>
      </c>
      <c r="M139">
        <f t="shared" si="26"/>
        <v>0.53846153846153855</v>
      </c>
      <c r="N139">
        <v>0.8846153846153848</v>
      </c>
      <c r="O139">
        <f t="shared" si="27"/>
        <v>0.10384615384615381</v>
      </c>
      <c r="P139">
        <f t="shared" si="28"/>
        <v>4.2307692307692296E-2</v>
      </c>
      <c r="Q139">
        <f t="shared" si="29"/>
        <v>5.3846153846153821E-2</v>
      </c>
      <c r="R139">
        <f t="shared" si="29"/>
        <v>0</v>
      </c>
      <c r="S139">
        <f t="shared" si="30"/>
        <v>0</v>
      </c>
      <c r="T139">
        <f t="shared" si="31"/>
        <v>0.1153846153846152</v>
      </c>
      <c r="U139">
        <f t="shared" si="32"/>
        <v>0.1552341236200811</v>
      </c>
      <c r="V139">
        <f t="shared" si="33"/>
        <v>0.12439201252920172</v>
      </c>
      <c r="W139">
        <f t="shared" si="34"/>
        <v>0.1153846153846152</v>
      </c>
      <c r="X139">
        <v>0</v>
      </c>
      <c r="Y139">
        <v>51.6</v>
      </c>
      <c r="Z139">
        <v>46.8</v>
      </c>
      <c r="AA139">
        <v>114</v>
      </c>
      <c r="AB139">
        <v>0</v>
      </c>
      <c r="AC139">
        <v>0</v>
      </c>
      <c r="AD139">
        <v>0</v>
      </c>
      <c r="AE139">
        <v>0</v>
      </c>
      <c r="AF139">
        <v>23.99999999999973</v>
      </c>
      <c r="AG139">
        <v>106.1538461538462</v>
      </c>
      <c r="AH139">
        <v>130.1538461538459</v>
      </c>
      <c r="AI139">
        <v>12.494059171597611</v>
      </c>
      <c r="AJ139">
        <v>12.569230769230771</v>
      </c>
      <c r="AK139">
        <v>11.32307692307692</v>
      </c>
      <c r="AL139">
        <v>2.417893491124238</v>
      </c>
      <c r="AM139">
        <v>38.804260355029527</v>
      </c>
      <c r="AN139">
        <v>180</v>
      </c>
      <c r="AO139">
        <v>0</v>
      </c>
      <c r="AP139">
        <v>10.061538461538539</v>
      </c>
      <c r="AQ139">
        <v>2.3261538461536269</v>
      </c>
      <c r="AR139">
        <v>3.2123076923079981</v>
      </c>
      <c r="AS139">
        <v>16.116923076922991</v>
      </c>
      <c r="AT139">
        <v>5.0215384615383094</v>
      </c>
      <c r="AU139">
        <v>11.261538461538461</v>
      </c>
      <c r="AV139">
        <v>0</v>
      </c>
      <c r="AW139">
        <v>15.60000000000016</v>
      </c>
      <c r="AX139">
        <v>32.399999999999757</v>
      </c>
      <c r="AY139">
        <v>23.999999999999961</v>
      </c>
      <c r="AZ139">
        <v>15.599999999999939</v>
      </c>
      <c r="BA139">
        <v>32.399999999999523</v>
      </c>
      <c r="BB139">
        <v>23.99999999999973</v>
      </c>
      <c r="BC139">
        <v>8.058461538461497</v>
      </c>
      <c r="BD139">
        <v>7.5415384615384227</v>
      </c>
      <c r="BE139">
        <v>6.7938461538460411</v>
      </c>
      <c r="BF139">
        <v>1.606153846153999</v>
      </c>
    </row>
    <row r="140" spans="1:58" x14ac:dyDescent="0.2">
      <c r="A140">
        <v>333</v>
      </c>
      <c r="B140">
        <v>30</v>
      </c>
      <c r="C140">
        <v>375</v>
      </c>
      <c r="D140">
        <v>250</v>
      </c>
      <c r="E140">
        <v>375</v>
      </c>
      <c r="F140">
        <f t="shared" si="24"/>
        <v>625</v>
      </c>
      <c r="G140">
        <f t="shared" si="24"/>
        <v>625</v>
      </c>
      <c r="H140">
        <v>958.33333333333337</v>
      </c>
      <c r="I140">
        <v>0.375</v>
      </c>
      <c r="J140">
        <v>0.20833333333333329</v>
      </c>
      <c r="K140">
        <v>0.375</v>
      </c>
      <c r="L140">
        <f t="shared" si="25"/>
        <v>0.58333333333333326</v>
      </c>
      <c r="M140">
        <f t="shared" si="26"/>
        <v>0.58333333333333326</v>
      </c>
      <c r="N140">
        <v>0.95833333333333337</v>
      </c>
      <c r="O140">
        <f t="shared" si="27"/>
        <v>7.5000000000000011E-2</v>
      </c>
      <c r="P140">
        <f t="shared" si="28"/>
        <v>5.8333333333333293E-2</v>
      </c>
      <c r="Q140">
        <f t="shared" si="29"/>
        <v>2.5000000000000022E-2</v>
      </c>
      <c r="R140">
        <f t="shared" si="29"/>
        <v>0</v>
      </c>
      <c r="S140">
        <f t="shared" si="30"/>
        <v>3.3333333333333215E-2</v>
      </c>
      <c r="T140">
        <f t="shared" si="31"/>
        <v>4.166666666666663E-2</v>
      </c>
      <c r="U140">
        <f t="shared" si="32"/>
        <v>8.5796917841558323E-2</v>
      </c>
      <c r="V140">
        <f t="shared" si="33"/>
        <v>9.8248551021263286E-2</v>
      </c>
      <c r="W140">
        <f t="shared" si="34"/>
        <v>5.3359368645273637E-2</v>
      </c>
      <c r="X140">
        <v>0</v>
      </c>
      <c r="Y140">
        <v>49.2</v>
      </c>
      <c r="Z140">
        <v>40.799999999999997</v>
      </c>
      <c r="AA140">
        <v>115.2</v>
      </c>
      <c r="AB140">
        <v>0</v>
      </c>
      <c r="AC140">
        <v>0</v>
      </c>
      <c r="AD140">
        <v>0</v>
      </c>
      <c r="AE140">
        <v>0</v>
      </c>
      <c r="AF140">
        <v>18.99999999999967</v>
      </c>
      <c r="AG140">
        <v>115</v>
      </c>
      <c r="AH140">
        <v>133.99999999999969</v>
      </c>
      <c r="AI140">
        <v>11.558777777777779</v>
      </c>
      <c r="AJ140">
        <v>6.566666666666654</v>
      </c>
      <c r="AK140">
        <v>5.1999999999999806</v>
      </c>
      <c r="AL140">
        <v>6.8743333333333227</v>
      </c>
      <c r="AM140">
        <v>30.19977777777774</v>
      </c>
      <c r="AN140">
        <v>180</v>
      </c>
      <c r="AO140">
        <v>0</v>
      </c>
      <c r="AP140">
        <v>4.2</v>
      </c>
      <c r="AQ140">
        <v>5.6399999999999837</v>
      </c>
      <c r="AR140">
        <v>9.1599999999999362</v>
      </c>
      <c r="AS140">
        <v>14.719999999999709</v>
      </c>
      <c r="AT140">
        <v>3.6799999999999682</v>
      </c>
      <c r="AU140">
        <v>0.6</v>
      </c>
      <c r="AV140">
        <v>0</v>
      </c>
      <c r="AW140">
        <v>18.999999999999918</v>
      </c>
      <c r="AX140">
        <v>18.99999999999968</v>
      </c>
      <c r="AY140">
        <v>18.999999999999801</v>
      </c>
      <c r="AZ140">
        <v>18.999999999999829</v>
      </c>
      <c r="BA140">
        <v>18.99999999999952</v>
      </c>
      <c r="BB140">
        <v>18.99999999999967</v>
      </c>
      <c r="BC140">
        <v>7.3599999999998547</v>
      </c>
      <c r="BD140">
        <v>3.939999999999984</v>
      </c>
      <c r="BE140">
        <v>3.1199999999999921</v>
      </c>
      <c r="BF140">
        <v>4.5799999999999681</v>
      </c>
    </row>
    <row r="141" spans="1:58" x14ac:dyDescent="0.2">
      <c r="A141">
        <v>333</v>
      </c>
      <c r="B141">
        <v>27.5</v>
      </c>
      <c r="C141">
        <v>375</v>
      </c>
      <c r="D141">
        <v>250</v>
      </c>
      <c r="E141">
        <v>375</v>
      </c>
      <c r="F141">
        <f t="shared" si="24"/>
        <v>625</v>
      </c>
      <c r="G141">
        <f t="shared" si="24"/>
        <v>625</v>
      </c>
      <c r="H141">
        <v>958.33333333333337</v>
      </c>
      <c r="I141">
        <v>0.40909090909090912</v>
      </c>
      <c r="J141">
        <v>0.22727272727272729</v>
      </c>
      <c r="K141">
        <v>0.40909090909090912</v>
      </c>
      <c r="L141">
        <f t="shared" si="25"/>
        <v>0.63636363636363646</v>
      </c>
      <c r="M141">
        <f t="shared" si="26"/>
        <v>0.63636363636363646</v>
      </c>
      <c r="N141">
        <v>1.0454545454545461</v>
      </c>
      <c r="O141">
        <f t="shared" si="27"/>
        <v>4.0909090909090895E-2</v>
      </c>
      <c r="P141">
        <f t="shared" si="28"/>
        <v>7.7272727272727298E-2</v>
      </c>
      <c r="Q141">
        <f t="shared" si="29"/>
        <v>0</v>
      </c>
      <c r="R141">
        <f t="shared" si="29"/>
        <v>3.6363636363636487E-2</v>
      </c>
      <c r="S141">
        <f t="shared" si="30"/>
        <v>8.636363636363642E-2</v>
      </c>
      <c r="T141">
        <f t="shared" si="31"/>
        <v>4.545454545454608E-2</v>
      </c>
      <c r="U141">
        <f t="shared" si="32"/>
        <v>6.1152836577608234E-2</v>
      </c>
      <c r="V141">
        <f t="shared" si="33"/>
        <v>8.743356391668794E-2</v>
      </c>
      <c r="W141">
        <f t="shared" si="34"/>
        <v>0.10414944761263309</v>
      </c>
      <c r="X141">
        <v>0</v>
      </c>
      <c r="Y141">
        <v>49.2</v>
      </c>
      <c r="Z141">
        <v>44.4</v>
      </c>
      <c r="AA141">
        <v>116.4</v>
      </c>
      <c r="AB141">
        <v>0</v>
      </c>
      <c r="AC141">
        <v>0</v>
      </c>
      <c r="AD141">
        <v>0</v>
      </c>
      <c r="AE141">
        <v>0</v>
      </c>
      <c r="AF141">
        <v>15.27272727272705</v>
      </c>
      <c r="AG141">
        <v>125.4545454545455</v>
      </c>
      <c r="AH141">
        <v>140.72727272727249</v>
      </c>
      <c r="AI141">
        <v>8.7118677685950203</v>
      </c>
      <c r="AJ141">
        <v>7.7999999999999696</v>
      </c>
      <c r="AK141">
        <v>4.0363636363636344</v>
      </c>
      <c r="AL141">
        <v>3.600000000000021</v>
      </c>
      <c r="AM141">
        <v>24.148231404958651</v>
      </c>
      <c r="AN141">
        <v>180</v>
      </c>
      <c r="AO141">
        <v>0</v>
      </c>
      <c r="AP141">
        <v>0.1090909090908503</v>
      </c>
      <c r="AQ141">
        <v>4.8436363636364854</v>
      </c>
      <c r="AR141">
        <v>4.3200000000000323</v>
      </c>
      <c r="AS141">
        <v>12.021818181818039</v>
      </c>
      <c r="AT141">
        <v>9.2509090909085998</v>
      </c>
      <c r="AU141">
        <v>0</v>
      </c>
      <c r="AV141">
        <v>0</v>
      </c>
      <c r="AW141">
        <v>9.2727272727273693</v>
      </c>
      <c r="AX141">
        <v>21.272727272726641</v>
      </c>
      <c r="AY141">
        <v>15.27272727272701</v>
      </c>
      <c r="AZ141">
        <v>9.2727272727273515</v>
      </c>
      <c r="BA141">
        <v>21.27272727272678</v>
      </c>
      <c r="BB141">
        <v>15.272727272727071</v>
      </c>
      <c r="BC141">
        <v>6.0109090909090206</v>
      </c>
      <c r="BD141">
        <v>4.6799999999997253</v>
      </c>
      <c r="BE141">
        <v>2.4218181818182432</v>
      </c>
      <c r="BF141">
        <v>2.1600000000000161</v>
      </c>
    </row>
    <row r="142" spans="1:58" x14ac:dyDescent="0.2">
      <c r="A142">
        <v>333</v>
      </c>
      <c r="B142">
        <v>25</v>
      </c>
      <c r="C142">
        <v>375</v>
      </c>
      <c r="D142">
        <v>250</v>
      </c>
      <c r="E142">
        <v>375</v>
      </c>
      <c r="F142">
        <f t="shared" si="24"/>
        <v>625</v>
      </c>
      <c r="G142">
        <f t="shared" si="24"/>
        <v>625</v>
      </c>
      <c r="H142">
        <v>958.33333333333337</v>
      </c>
      <c r="I142">
        <v>0.45</v>
      </c>
      <c r="J142">
        <v>0.25</v>
      </c>
      <c r="K142">
        <v>0.45</v>
      </c>
      <c r="L142">
        <f t="shared" si="25"/>
        <v>0.7</v>
      </c>
      <c r="M142">
        <f t="shared" si="26"/>
        <v>0.7</v>
      </c>
      <c r="N142">
        <v>1.1499999999999999</v>
      </c>
      <c r="O142">
        <f t="shared" si="27"/>
        <v>0</v>
      </c>
      <c r="P142">
        <f t="shared" si="28"/>
        <v>9.9999999999999978E-2</v>
      </c>
      <c r="Q142">
        <f t="shared" si="29"/>
        <v>0</v>
      </c>
      <c r="R142">
        <f t="shared" si="29"/>
        <v>9.9999999999999978E-2</v>
      </c>
      <c r="S142">
        <f t="shared" si="30"/>
        <v>0.14999999999999991</v>
      </c>
      <c r="T142">
        <f t="shared" si="31"/>
        <v>0.14999999999999991</v>
      </c>
      <c r="U142">
        <f t="shared" si="32"/>
        <v>0.14999999999999991</v>
      </c>
      <c r="V142">
        <f t="shared" si="33"/>
        <v>9.9999999999999978E-2</v>
      </c>
      <c r="W142">
        <f t="shared" si="34"/>
        <v>0.23452078799117138</v>
      </c>
      <c r="X142">
        <v>0</v>
      </c>
      <c r="Y142">
        <v>54</v>
      </c>
      <c r="Z142">
        <v>25.2</v>
      </c>
      <c r="AA142">
        <v>103.2</v>
      </c>
      <c r="AB142">
        <v>0</v>
      </c>
      <c r="AC142">
        <v>0</v>
      </c>
      <c r="AD142">
        <v>0</v>
      </c>
      <c r="AE142">
        <v>0</v>
      </c>
      <c r="AF142">
        <v>17.999999999999929</v>
      </c>
      <c r="AG142">
        <v>138</v>
      </c>
      <c r="AH142">
        <v>155.99999999999989</v>
      </c>
      <c r="AI142">
        <v>0.20000000000000381</v>
      </c>
      <c r="AJ142">
        <v>0.80000000000000759</v>
      </c>
      <c r="AK142">
        <v>17.399999999999999</v>
      </c>
      <c r="AL142">
        <v>11.599999999999991</v>
      </c>
      <c r="AM142">
        <v>30</v>
      </c>
      <c r="AN142">
        <v>180</v>
      </c>
      <c r="AO142">
        <v>0</v>
      </c>
      <c r="AP142">
        <v>0</v>
      </c>
      <c r="AQ142">
        <v>20.879999999999971</v>
      </c>
      <c r="AR142">
        <v>13.91999999999995</v>
      </c>
      <c r="AS142">
        <v>0.23999999999990301</v>
      </c>
      <c r="AT142">
        <v>0.95999999999993535</v>
      </c>
      <c r="AU142">
        <v>0</v>
      </c>
      <c r="AV142">
        <v>0</v>
      </c>
      <c r="AW142">
        <v>34.799999999999919</v>
      </c>
      <c r="AX142">
        <v>1.1999999999998381</v>
      </c>
      <c r="AY142">
        <v>17.999999999999879</v>
      </c>
      <c r="AZ142">
        <v>34.799999999999933</v>
      </c>
      <c r="BA142">
        <v>1.199999999999932</v>
      </c>
      <c r="BB142">
        <v>17.999999999999929</v>
      </c>
      <c r="BC142">
        <v>0.11999999999995151</v>
      </c>
      <c r="BD142">
        <v>0.47999999999996767</v>
      </c>
      <c r="BE142">
        <v>10.43999999999998</v>
      </c>
      <c r="BF142">
        <v>6.959999999999976</v>
      </c>
    </row>
    <row r="143" spans="1:58" x14ac:dyDescent="0.2">
      <c r="A143">
        <v>333</v>
      </c>
      <c r="B143">
        <v>22.5</v>
      </c>
      <c r="C143">
        <v>375</v>
      </c>
      <c r="D143">
        <v>250</v>
      </c>
      <c r="E143">
        <v>375</v>
      </c>
      <c r="F143">
        <f t="shared" si="24"/>
        <v>625</v>
      </c>
      <c r="G143">
        <f t="shared" si="24"/>
        <v>625</v>
      </c>
      <c r="H143">
        <v>958.33333333333337</v>
      </c>
      <c r="I143">
        <v>0.5</v>
      </c>
      <c r="J143">
        <v>0.27777777777777779</v>
      </c>
      <c r="K143">
        <v>0.5</v>
      </c>
      <c r="L143">
        <f t="shared" si="25"/>
        <v>0.77777777777777779</v>
      </c>
      <c r="M143">
        <f t="shared" si="26"/>
        <v>0.77777777777777779</v>
      </c>
      <c r="N143">
        <v>1.2777777777777779</v>
      </c>
      <c r="O143">
        <f t="shared" si="27"/>
        <v>0</v>
      </c>
      <c r="P143">
        <f t="shared" si="28"/>
        <v>7.2222222222222188E-2</v>
      </c>
      <c r="Q143">
        <f t="shared" si="29"/>
        <v>0</v>
      </c>
      <c r="R143">
        <f t="shared" si="29"/>
        <v>0.12222222222222223</v>
      </c>
      <c r="S143">
        <f t="shared" si="30"/>
        <v>0.17222222222222217</v>
      </c>
      <c r="T143">
        <f t="shared" si="31"/>
        <v>0.2222222222222221</v>
      </c>
      <c r="U143">
        <f t="shared" si="32"/>
        <v>0.2222222222222221</v>
      </c>
      <c r="V143">
        <f t="shared" si="33"/>
        <v>7.2222222222222188E-2</v>
      </c>
      <c r="W143">
        <f t="shared" si="34"/>
        <v>0.30656399247380867</v>
      </c>
      <c r="X143">
        <v>0</v>
      </c>
      <c r="Y143">
        <v>60</v>
      </c>
      <c r="Z143">
        <v>14.4</v>
      </c>
      <c r="AA143">
        <v>70.8</v>
      </c>
      <c r="AB143">
        <v>0</v>
      </c>
      <c r="AC143">
        <v>0</v>
      </c>
      <c r="AD143">
        <v>0</v>
      </c>
      <c r="AE143">
        <v>0</v>
      </c>
      <c r="AF143">
        <v>26.666666666666369</v>
      </c>
      <c r="AG143">
        <v>153.33333333333329</v>
      </c>
      <c r="AH143">
        <v>179.99999999999969</v>
      </c>
      <c r="AI143">
        <v>0</v>
      </c>
      <c r="AJ143">
        <v>10.222222222222211</v>
      </c>
      <c r="AK143">
        <v>30.466666666666669</v>
      </c>
      <c r="AL143">
        <v>3.75555555555554</v>
      </c>
      <c r="AM143">
        <v>44.444444444444422</v>
      </c>
      <c r="AN143">
        <v>180</v>
      </c>
      <c r="AO143">
        <v>0</v>
      </c>
      <c r="AP143">
        <v>0</v>
      </c>
      <c r="AQ143">
        <v>32.959999999999937</v>
      </c>
      <c r="AR143">
        <v>4.5066666666667317</v>
      </c>
      <c r="AS143">
        <v>0</v>
      </c>
      <c r="AT143">
        <v>12.266666666666669</v>
      </c>
      <c r="AU143">
        <v>3.599999999999838</v>
      </c>
      <c r="AV143">
        <v>0</v>
      </c>
      <c r="AW143">
        <v>37.466666666666669</v>
      </c>
      <c r="AX143">
        <v>15.866666666666511</v>
      </c>
      <c r="AY143">
        <v>26.66666666666659</v>
      </c>
      <c r="AZ143">
        <v>37.466666666666697</v>
      </c>
      <c r="BA143">
        <v>15.866666666666109</v>
      </c>
      <c r="BB143">
        <v>26.666666666666401</v>
      </c>
      <c r="BC143">
        <v>0</v>
      </c>
      <c r="BD143">
        <v>6.1333333333333337</v>
      </c>
      <c r="BE143">
        <v>18.279999999999891</v>
      </c>
      <c r="BF143">
        <v>2.2533333333333658</v>
      </c>
    </row>
    <row r="144" spans="1:58" x14ac:dyDescent="0.2">
      <c r="A144">
        <v>333</v>
      </c>
      <c r="B144">
        <v>20</v>
      </c>
      <c r="C144">
        <v>375</v>
      </c>
      <c r="D144">
        <v>250</v>
      </c>
      <c r="E144">
        <v>375</v>
      </c>
      <c r="F144">
        <f t="shared" si="24"/>
        <v>625</v>
      </c>
      <c r="G144">
        <f t="shared" si="24"/>
        <v>625</v>
      </c>
      <c r="H144">
        <v>958.33333333333337</v>
      </c>
      <c r="I144">
        <v>0.5625</v>
      </c>
      <c r="J144">
        <v>0.31250000000000011</v>
      </c>
      <c r="K144">
        <v>0.5625</v>
      </c>
      <c r="L144">
        <f t="shared" si="25"/>
        <v>0.87500000000000011</v>
      </c>
      <c r="M144">
        <f t="shared" si="26"/>
        <v>0.87500000000000011</v>
      </c>
      <c r="N144">
        <v>1.4375</v>
      </c>
      <c r="O144">
        <f t="shared" si="27"/>
        <v>1.2499999999999956E-2</v>
      </c>
      <c r="P144">
        <f t="shared" si="28"/>
        <v>3.7499999999999867E-2</v>
      </c>
      <c r="Q144">
        <f t="shared" si="29"/>
        <v>0</v>
      </c>
      <c r="R144">
        <f t="shared" si="29"/>
        <v>2.4999999999999911E-2</v>
      </c>
      <c r="S144">
        <f t="shared" si="30"/>
        <v>7.4999999999999845E-2</v>
      </c>
      <c r="T144">
        <f t="shared" si="31"/>
        <v>6.25E-2</v>
      </c>
      <c r="U144">
        <f t="shared" si="32"/>
        <v>6.3737743919909801E-2</v>
      </c>
      <c r="V144">
        <f t="shared" si="33"/>
        <v>3.9528470752104597E-2</v>
      </c>
      <c r="W144">
        <f t="shared" si="34"/>
        <v>0.10077822185373173</v>
      </c>
      <c r="X144">
        <v>0</v>
      </c>
      <c r="Y144">
        <v>52.8</v>
      </c>
      <c r="Z144">
        <v>94.8</v>
      </c>
      <c r="AA144">
        <v>50.4</v>
      </c>
      <c r="AB144">
        <v>0</v>
      </c>
      <c r="AC144">
        <v>0</v>
      </c>
      <c r="AD144">
        <v>0</v>
      </c>
      <c r="AE144">
        <v>0</v>
      </c>
      <c r="AF144">
        <v>10.499999999999799</v>
      </c>
      <c r="AG144">
        <v>172.5</v>
      </c>
      <c r="AH144">
        <v>182.9999999999998</v>
      </c>
      <c r="AI144">
        <v>0.24999999999998099</v>
      </c>
      <c r="AJ144">
        <v>16.3</v>
      </c>
      <c r="AK144">
        <v>0.1687500000000007</v>
      </c>
      <c r="AL144">
        <v>0.68574999999999886</v>
      </c>
      <c r="AM144">
        <v>17.404499999999981</v>
      </c>
      <c r="AN144">
        <v>180</v>
      </c>
      <c r="AO144">
        <v>0</v>
      </c>
      <c r="AP144">
        <v>2.1599999999999349</v>
      </c>
      <c r="AQ144">
        <v>0.2024999999999838</v>
      </c>
      <c r="AR144">
        <v>0.9375</v>
      </c>
      <c r="AS144">
        <v>0.29999999999983828</v>
      </c>
      <c r="AT144">
        <v>17.399999999999999</v>
      </c>
      <c r="AU144">
        <v>0</v>
      </c>
      <c r="AV144">
        <v>0</v>
      </c>
      <c r="AW144">
        <v>3.299999999999919</v>
      </c>
      <c r="AX144">
        <v>17.699999999999839</v>
      </c>
      <c r="AY144">
        <v>10.499999999999879</v>
      </c>
      <c r="AZ144">
        <v>3.3000000000000109</v>
      </c>
      <c r="BA144">
        <v>17.69999999999968</v>
      </c>
      <c r="BB144">
        <v>10.49999999999984</v>
      </c>
      <c r="BC144">
        <v>0.14999999999991909</v>
      </c>
      <c r="BD144">
        <v>9.7799999999999674</v>
      </c>
      <c r="BE144">
        <v>0.1012499999999919</v>
      </c>
      <c r="BF144">
        <v>0.46875</v>
      </c>
    </row>
    <row r="145" spans="1:58" x14ac:dyDescent="0.2">
      <c r="A145">
        <v>334</v>
      </c>
      <c r="B145">
        <v>50</v>
      </c>
      <c r="C145">
        <v>208.33333333333329</v>
      </c>
      <c r="D145">
        <v>250</v>
      </c>
      <c r="E145">
        <v>375</v>
      </c>
      <c r="F145">
        <f t="shared" si="24"/>
        <v>458.33333333333326</v>
      </c>
      <c r="G145">
        <f t="shared" si="24"/>
        <v>625</v>
      </c>
      <c r="H145">
        <v>791.66666666666674</v>
      </c>
      <c r="I145">
        <v>0.125</v>
      </c>
      <c r="J145">
        <v>0.125</v>
      </c>
      <c r="K145">
        <v>0.22500000000000001</v>
      </c>
      <c r="L145">
        <f t="shared" si="25"/>
        <v>0.25</v>
      </c>
      <c r="M145">
        <f t="shared" si="26"/>
        <v>0.35</v>
      </c>
      <c r="N145">
        <v>0.47499999999999998</v>
      </c>
      <c r="O145">
        <f t="shared" si="27"/>
        <v>7.4999999999999997E-2</v>
      </c>
      <c r="P145">
        <f t="shared" si="28"/>
        <v>0</v>
      </c>
      <c r="Q145">
        <f t="shared" si="29"/>
        <v>0.125</v>
      </c>
      <c r="R145">
        <f t="shared" si="29"/>
        <v>0.15</v>
      </c>
      <c r="S145">
        <f t="shared" si="30"/>
        <v>0.10000000000000003</v>
      </c>
      <c r="T145">
        <f t="shared" si="31"/>
        <v>2.5000000000000022E-2</v>
      </c>
      <c r="U145">
        <f t="shared" si="32"/>
        <v>7.9056941504209485E-2</v>
      </c>
      <c r="V145">
        <f t="shared" si="33"/>
        <v>0.1457737973711325</v>
      </c>
      <c r="W145">
        <f t="shared" si="34"/>
        <v>0.18200274723201298</v>
      </c>
      <c r="X145">
        <v>0</v>
      </c>
      <c r="Y145">
        <v>103.2</v>
      </c>
      <c r="Z145">
        <v>74.399999999999991</v>
      </c>
      <c r="AA145">
        <v>73.2</v>
      </c>
      <c r="AB145">
        <v>0</v>
      </c>
      <c r="AC145">
        <v>0</v>
      </c>
      <c r="AD145">
        <v>0</v>
      </c>
      <c r="AE145">
        <v>0</v>
      </c>
      <c r="AF145">
        <v>32.999999999999588</v>
      </c>
      <c r="AG145">
        <v>57</v>
      </c>
      <c r="AH145">
        <v>89.999999999999602</v>
      </c>
      <c r="AI145">
        <v>7.2549999999999786</v>
      </c>
      <c r="AJ145">
        <v>13.545000000000011</v>
      </c>
      <c r="AK145">
        <v>16.800000000000029</v>
      </c>
      <c r="AL145">
        <v>16.937999999999999</v>
      </c>
      <c r="AM145">
        <v>54.538000000000018</v>
      </c>
      <c r="AN145">
        <v>180</v>
      </c>
      <c r="AO145">
        <v>0</v>
      </c>
      <c r="AP145">
        <v>15.83999999999998</v>
      </c>
      <c r="AQ145">
        <v>19.080000000000052</v>
      </c>
      <c r="AR145">
        <v>20.879999999999811</v>
      </c>
      <c r="AS145">
        <v>8.7059999999993636</v>
      </c>
      <c r="AT145">
        <v>0.41400000000002263</v>
      </c>
      <c r="AU145">
        <v>1.0799999999999681</v>
      </c>
      <c r="AV145">
        <v>0</v>
      </c>
      <c r="AW145">
        <v>55.799999999999841</v>
      </c>
      <c r="AX145">
        <v>10.199999999999349</v>
      </c>
      <c r="AY145">
        <v>32.999999999999588</v>
      </c>
      <c r="AZ145">
        <v>55.799999999999848</v>
      </c>
      <c r="BA145">
        <v>10.19999999999936</v>
      </c>
      <c r="BB145">
        <v>32.999999999999602</v>
      </c>
      <c r="BC145">
        <v>4.3529999999996818</v>
      </c>
      <c r="BD145">
        <v>8.1270000000000024</v>
      </c>
      <c r="BE145">
        <v>10.080000000000011</v>
      </c>
      <c r="BF145">
        <v>10.4399999999999</v>
      </c>
    </row>
    <row r="146" spans="1:58" x14ac:dyDescent="0.2">
      <c r="A146">
        <v>334</v>
      </c>
      <c r="B146">
        <v>47.5</v>
      </c>
      <c r="C146">
        <v>208.33333333333329</v>
      </c>
      <c r="D146">
        <v>250</v>
      </c>
      <c r="E146">
        <v>375</v>
      </c>
      <c r="F146">
        <f t="shared" si="24"/>
        <v>458.33333333333326</v>
      </c>
      <c r="G146">
        <f t="shared" si="24"/>
        <v>625</v>
      </c>
      <c r="H146">
        <v>791.66666666666674</v>
      </c>
      <c r="I146">
        <v>0.1315789473684211</v>
      </c>
      <c r="J146">
        <v>0.1315789473684211</v>
      </c>
      <c r="K146">
        <v>0.23684210526315791</v>
      </c>
      <c r="L146">
        <f t="shared" si="25"/>
        <v>0.2631578947368422</v>
      </c>
      <c r="M146">
        <f t="shared" si="26"/>
        <v>0.36842105263157898</v>
      </c>
      <c r="N146">
        <v>0.5</v>
      </c>
      <c r="O146">
        <f t="shared" si="27"/>
        <v>8.1578947368421098E-2</v>
      </c>
      <c r="P146">
        <f t="shared" si="28"/>
        <v>0</v>
      </c>
      <c r="Q146">
        <f t="shared" si="29"/>
        <v>0.1368421052631579</v>
      </c>
      <c r="R146">
        <f t="shared" si="29"/>
        <v>0.13684210526315782</v>
      </c>
      <c r="S146">
        <f t="shared" si="30"/>
        <v>8.1578947368421029E-2</v>
      </c>
      <c r="T146">
        <f t="shared" si="31"/>
        <v>0</v>
      </c>
      <c r="U146">
        <f t="shared" si="32"/>
        <v>8.1578947368421098E-2</v>
      </c>
      <c r="V146">
        <f t="shared" si="33"/>
        <v>0.15931379860700332</v>
      </c>
      <c r="W146">
        <f t="shared" si="34"/>
        <v>0.1593137986070032</v>
      </c>
      <c r="X146">
        <v>0</v>
      </c>
      <c r="Y146">
        <v>93.6</v>
      </c>
      <c r="Z146">
        <v>61.2</v>
      </c>
      <c r="AA146">
        <v>58.8</v>
      </c>
      <c r="AB146">
        <v>0</v>
      </c>
      <c r="AC146">
        <v>0</v>
      </c>
      <c r="AD146">
        <v>0</v>
      </c>
      <c r="AE146">
        <v>0</v>
      </c>
      <c r="AF146">
        <v>32.842105263157642</v>
      </c>
      <c r="AG146">
        <v>60</v>
      </c>
      <c r="AH146">
        <v>92.842105263157634</v>
      </c>
      <c r="AI146">
        <v>2.5661385041551479</v>
      </c>
      <c r="AJ146">
        <v>20.592576177285309</v>
      </c>
      <c r="AK146">
        <v>13.27468144044323</v>
      </c>
      <c r="AL146">
        <v>17.97795013850417</v>
      </c>
      <c r="AM146">
        <v>54.411346260387859</v>
      </c>
      <c r="AN146">
        <v>180</v>
      </c>
      <c r="AO146">
        <v>0</v>
      </c>
      <c r="AP146">
        <v>24.151578947368481</v>
      </c>
      <c r="AQ146">
        <v>14.716986149584489</v>
      </c>
      <c r="AR146">
        <v>21.57354016620496</v>
      </c>
      <c r="AS146">
        <v>3.469961218836155</v>
      </c>
      <c r="AT146">
        <v>0.55951246537394284</v>
      </c>
      <c r="AU146">
        <v>1.2126315789473461</v>
      </c>
      <c r="AV146">
        <v>0</v>
      </c>
      <c r="AW146">
        <v>60.442105263157927</v>
      </c>
      <c r="AX146">
        <v>5.2421052631574439</v>
      </c>
      <c r="AY146">
        <v>32.842105263157677</v>
      </c>
      <c r="AZ146">
        <v>60.442105263157849</v>
      </c>
      <c r="BA146">
        <v>5.2421052631574483</v>
      </c>
      <c r="BB146">
        <v>32.842105263157649</v>
      </c>
      <c r="BC146">
        <v>1.7349806094180771</v>
      </c>
      <c r="BD146">
        <v>12.35554570637121</v>
      </c>
      <c r="BE146">
        <v>7.9648088642659181</v>
      </c>
      <c r="BF146">
        <v>10.78677008310248</v>
      </c>
    </row>
    <row r="147" spans="1:58" x14ac:dyDescent="0.2">
      <c r="A147">
        <v>334</v>
      </c>
      <c r="B147">
        <v>45</v>
      </c>
      <c r="C147">
        <v>208.33333333333329</v>
      </c>
      <c r="D147">
        <v>250</v>
      </c>
      <c r="E147">
        <v>375</v>
      </c>
      <c r="F147">
        <f t="shared" si="24"/>
        <v>458.33333333333326</v>
      </c>
      <c r="G147">
        <f t="shared" si="24"/>
        <v>625</v>
      </c>
      <c r="H147">
        <v>791.66666666666674</v>
      </c>
      <c r="I147">
        <v>0.1388888888888889</v>
      </c>
      <c r="J147">
        <v>0.1388888888888889</v>
      </c>
      <c r="K147">
        <v>0.25</v>
      </c>
      <c r="L147">
        <f t="shared" si="25"/>
        <v>0.27777777777777779</v>
      </c>
      <c r="M147">
        <f t="shared" si="26"/>
        <v>0.3888888888888889</v>
      </c>
      <c r="N147">
        <v>0.52777777777777779</v>
      </c>
      <c r="O147">
        <f t="shared" si="27"/>
        <v>8.8888888888888892E-2</v>
      </c>
      <c r="P147">
        <f t="shared" si="28"/>
        <v>0</v>
      </c>
      <c r="Q147">
        <f t="shared" si="29"/>
        <v>0.15</v>
      </c>
      <c r="R147">
        <f t="shared" si="29"/>
        <v>0.12222222222222223</v>
      </c>
      <c r="S147">
        <f t="shared" si="30"/>
        <v>6.1111111111111116E-2</v>
      </c>
      <c r="T147">
        <f t="shared" si="31"/>
        <v>2.777777777777779E-2</v>
      </c>
      <c r="U147">
        <f t="shared" si="32"/>
        <v>9.3128081190223394E-2</v>
      </c>
      <c r="V147">
        <f t="shared" si="33"/>
        <v>0.17435949807194684</v>
      </c>
      <c r="W147">
        <f t="shared" si="34"/>
        <v>0.13944333775567927</v>
      </c>
      <c r="X147">
        <v>0</v>
      </c>
      <c r="Y147">
        <v>103.2</v>
      </c>
      <c r="Z147">
        <v>58.8</v>
      </c>
      <c r="AA147">
        <v>67.2</v>
      </c>
      <c r="AB147">
        <v>0</v>
      </c>
      <c r="AC147">
        <v>0</v>
      </c>
      <c r="AD147">
        <v>0</v>
      </c>
      <c r="AE147">
        <v>0</v>
      </c>
      <c r="AF147">
        <v>32.666666666666181</v>
      </c>
      <c r="AG147">
        <v>63.333333333333343</v>
      </c>
      <c r="AH147">
        <v>95.999999999999517</v>
      </c>
      <c r="AI147">
        <v>9.4222222222221652E-2</v>
      </c>
      <c r="AJ147">
        <v>21.74933333333335</v>
      </c>
      <c r="AK147">
        <v>20.82938271604937</v>
      </c>
      <c r="AL147">
        <v>11.2817283950617</v>
      </c>
      <c r="AM147">
        <v>53.954666666666647</v>
      </c>
      <c r="AN147">
        <v>180</v>
      </c>
      <c r="AO147">
        <v>0</v>
      </c>
      <c r="AP147">
        <v>17.173333333333321</v>
      </c>
      <c r="AQ147">
        <v>16.355259259259199</v>
      </c>
      <c r="AR147">
        <v>13.53807407407367</v>
      </c>
      <c r="AS147">
        <v>0.13333333333349501</v>
      </c>
      <c r="AT147">
        <v>9.4933333333333501</v>
      </c>
      <c r="AU147">
        <v>8.6399999999999029</v>
      </c>
      <c r="AV147">
        <v>0</v>
      </c>
      <c r="AW147">
        <v>47.06666666666618</v>
      </c>
      <c r="AX147">
        <v>18.266666666666751</v>
      </c>
      <c r="AY147">
        <v>32.666666666666472</v>
      </c>
      <c r="AZ147">
        <v>47.066666666665782</v>
      </c>
      <c r="BA147">
        <v>18.266666666666591</v>
      </c>
      <c r="BB147">
        <v>32.666666666666188</v>
      </c>
      <c r="BC147">
        <v>6.6666666666747504E-2</v>
      </c>
      <c r="BD147">
        <v>13.33333333333333</v>
      </c>
      <c r="BE147">
        <v>12.49762962962955</v>
      </c>
      <c r="BF147">
        <v>6.7690370370368331</v>
      </c>
    </row>
    <row r="148" spans="1:58" x14ac:dyDescent="0.2">
      <c r="A148">
        <v>334</v>
      </c>
      <c r="B148">
        <v>42.5</v>
      </c>
      <c r="C148">
        <v>208.33333333333329</v>
      </c>
      <c r="D148">
        <v>250</v>
      </c>
      <c r="E148">
        <v>375</v>
      </c>
      <c r="F148">
        <f t="shared" si="24"/>
        <v>458.33333333333326</v>
      </c>
      <c r="G148">
        <f t="shared" si="24"/>
        <v>625</v>
      </c>
      <c r="H148">
        <v>791.66666666666674</v>
      </c>
      <c r="I148">
        <v>0.1470588235294118</v>
      </c>
      <c r="J148">
        <v>0.1470588235294118</v>
      </c>
      <c r="K148">
        <v>0.26470588235294118</v>
      </c>
      <c r="L148">
        <f t="shared" si="25"/>
        <v>0.29411764705882359</v>
      </c>
      <c r="M148">
        <f t="shared" si="26"/>
        <v>0.41176470588235298</v>
      </c>
      <c r="N148">
        <v>0.55882352941176472</v>
      </c>
      <c r="O148">
        <f t="shared" si="27"/>
        <v>9.7058823529411795E-2</v>
      </c>
      <c r="P148">
        <f t="shared" si="28"/>
        <v>0</v>
      </c>
      <c r="Q148">
        <f t="shared" si="29"/>
        <v>0.13529411764705884</v>
      </c>
      <c r="R148">
        <f t="shared" si="29"/>
        <v>0.10588235294117643</v>
      </c>
      <c r="S148">
        <f t="shared" si="30"/>
        <v>3.8235294117647034E-2</v>
      </c>
      <c r="T148">
        <f t="shared" si="31"/>
        <v>5.8823529411764719E-2</v>
      </c>
      <c r="U148">
        <f t="shared" si="32"/>
        <v>0.11349283165632201</v>
      </c>
      <c r="V148">
        <f t="shared" si="33"/>
        <v>0.16650799829080193</v>
      </c>
      <c r="W148">
        <f t="shared" si="34"/>
        <v>0.12701660518640692</v>
      </c>
      <c r="X148">
        <v>0</v>
      </c>
      <c r="Y148">
        <v>93.6</v>
      </c>
      <c r="Z148">
        <v>60</v>
      </c>
      <c r="AA148">
        <v>58.8</v>
      </c>
      <c r="AB148">
        <v>0</v>
      </c>
      <c r="AC148">
        <v>0</v>
      </c>
      <c r="AD148">
        <v>0</v>
      </c>
      <c r="AE148">
        <v>0</v>
      </c>
      <c r="AF148">
        <v>32.470588235293938</v>
      </c>
      <c r="AG148">
        <v>67.058823529411768</v>
      </c>
      <c r="AH148">
        <v>99.529411764705713</v>
      </c>
      <c r="AI148">
        <v>1.217162629757798</v>
      </c>
      <c r="AJ148">
        <v>22.819238754325241</v>
      </c>
      <c r="AK148">
        <v>12.874048442906579</v>
      </c>
      <c r="AL148">
        <v>17.10242214532872</v>
      </c>
      <c r="AM148">
        <v>54.012871972318337</v>
      </c>
      <c r="AN148">
        <v>180</v>
      </c>
      <c r="AO148">
        <v>0</v>
      </c>
      <c r="AP148">
        <v>25.6376470588235</v>
      </c>
      <c r="AQ148">
        <v>11.510034602076241</v>
      </c>
      <c r="AR148">
        <v>20.52290657439444</v>
      </c>
      <c r="AS148">
        <v>1.5863252595158379</v>
      </c>
      <c r="AT148">
        <v>1.745439446366799</v>
      </c>
      <c r="AU148">
        <v>3.9388235294116178</v>
      </c>
      <c r="AV148">
        <v>0</v>
      </c>
      <c r="AW148">
        <v>57.670588235294183</v>
      </c>
      <c r="AX148">
        <v>7.2705882352942552</v>
      </c>
      <c r="AY148">
        <v>32.470588235294223</v>
      </c>
      <c r="AZ148">
        <v>57.670588235294062</v>
      </c>
      <c r="BA148">
        <v>7.270588235293971</v>
      </c>
      <c r="BB148">
        <v>32.470588235294016</v>
      </c>
      <c r="BC148">
        <v>0.79316262975791885</v>
      </c>
      <c r="BD148">
        <v>13.691543252595149</v>
      </c>
      <c r="BE148">
        <v>7.7244290657439301</v>
      </c>
      <c r="BF148">
        <v>10.26145328719722</v>
      </c>
    </row>
    <row r="149" spans="1:58" x14ac:dyDescent="0.2">
      <c r="A149">
        <v>334</v>
      </c>
      <c r="B149">
        <v>40</v>
      </c>
      <c r="C149">
        <v>208.33333333333329</v>
      </c>
      <c r="D149">
        <v>250</v>
      </c>
      <c r="E149">
        <v>375</v>
      </c>
      <c r="F149">
        <f t="shared" si="24"/>
        <v>458.33333333333326</v>
      </c>
      <c r="G149">
        <f t="shared" si="24"/>
        <v>625</v>
      </c>
      <c r="H149">
        <v>791.66666666666674</v>
      </c>
      <c r="I149">
        <v>0.15625</v>
      </c>
      <c r="J149">
        <v>0.15625</v>
      </c>
      <c r="K149">
        <v>0.28125</v>
      </c>
      <c r="L149">
        <f t="shared" si="25"/>
        <v>0.3125</v>
      </c>
      <c r="M149">
        <f t="shared" si="26"/>
        <v>0.4375</v>
      </c>
      <c r="N149">
        <v>0.59375</v>
      </c>
      <c r="O149">
        <f t="shared" si="27"/>
        <v>0.10625</v>
      </c>
      <c r="P149">
        <f t="shared" si="28"/>
        <v>6.2500000000000056E-3</v>
      </c>
      <c r="Q149">
        <f t="shared" si="29"/>
        <v>0.11875000000000002</v>
      </c>
      <c r="R149">
        <f t="shared" si="29"/>
        <v>8.7500000000000022E-2</v>
      </c>
      <c r="S149">
        <f t="shared" si="30"/>
        <v>1.2500000000000011E-2</v>
      </c>
      <c r="T149">
        <f t="shared" si="31"/>
        <v>9.375E-2</v>
      </c>
      <c r="U149">
        <f t="shared" si="32"/>
        <v>0.14169730060943292</v>
      </c>
      <c r="V149">
        <f t="shared" si="33"/>
        <v>0.15946688527716343</v>
      </c>
      <c r="W149">
        <f t="shared" si="34"/>
        <v>0.12884705080055192</v>
      </c>
      <c r="X149">
        <v>0</v>
      </c>
      <c r="Y149">
        <v>8.4</v>
      </c>
      <c r="Z149">
        <v>34.799999999999997</v>
      </c>
      <c r="AA149">
        <v>55.2</v>
      </c>
      <c r="AB149">
        <v>0</v>
      </c>
      <c r="AC149">
        <v>0</v>
      </c>
      <c r="AD149">
        <v>0</v>
      </c>
      <c r="AE149">
        <v>0</v>
      </c>
      <c r="AF149">
        <v>35.249999999999787</v>
      </c>
      <c r="AG149">
        <v>71.25</v>
      </c>
      <c r="AH149">
        <v>106.4999999999998</v>
      </c>
      <c r="AI149">
        <v>18.077624999999951</v>
      </c>
      <c r="AJ149">
        <v>11.876374999999999</v>
      </c>
      <c r="AK149">
        <v>15.074999999999999</v>
      </c>
      <c r="AL149">
        <v>13.375</v>
      </c>
      <c r="AM149">
        <v>58.403999999999947</v>
      </c>
      <c r="AN149">
        <v>180</v>
      </c>
      <c r="AO149">
        <v>0</v>
      </c>
      <c r="AP149">
        <v>0</v>
      </c>
      <c r="AQ149">
        <v>0</v>
      </c>
      <c r="AR149">
        <v>16.049999999999759</v>
      </c>
      <c r="AS149">
        <v>21.779999999999969</v>
      </c>
      <c r="AT149">
        <v>14.57999999999981</v>
      </c>
      <c r="AU149">
        <v>18.089999999999979</v>
      </c>
      <c r="AV149">
        <v>0</v>
      </c>
      <c r="AW149">
        <v>16.049999999999759</v>
      </c>
      <c r="AX149">
        <v>54.449999999999761</v>
      </c>
      <c r="AY149">
        <v>35.249999999999758</v>
      </c>
      <c r="AZ149">
        <v>16.049999999999759</v>
      </c>
      <c r="BA149">
        <v>54.449999999999832</v>
      </c>
      <c r="BB149">
        <v>35.249999999999787</v>
      </c>
      <c r="BC149">
        <v>10.889999999999979</v>
      </c>
      <c r="BD149">
        <v>7.2899999999999032</v>
      </c>
      <c r="BE149">
        <v>9.044999999999991</v>
      </c>
      <c r="BF149">
        <v>8.0249999999998796</v>
      </c>
    </row>
    <row r="150" spans="1:58" x14ac:dyDescent="0.2">
      <c r="A150">
        <v>334</v>
      </c>
      <c r="B150">
        <v>37.5</v>
      </c>
      <c r="C150">
        <v>208.33333333333329</v>
      </c>
      <c r="D150">
        <v>250</v>
      </c>
      <c r="E150">
        <v>375</v>
      </c>
      <c r="F150">
        <f t="shared" si="24"/>
        <v>458.33333333333326</v>
      </c>
      <c r="G150">
        <f t="shared" si="24"/>
        <v>625</v>
      </c>
      <c r="H150">
        <v>791.66666666666674</v>
      </c>
      <c r="I150">
        <v>0.16666666666666671</v>
      </c>
      <c r="J150">
        <v>0.16666666666666671</v>
      </c>
      <c r="K150">
        <v>0.3</v>
      </c>
      <c r="L150">
        <f t="shared" si="25"/>
        <v>0.33333333333333343</v>
      </c>
      <c r="M150">
        <f t="shared" si="26"/>
        <v>0.46666666666666667</v>
      </c>
      <c r="N150">
        <v>0.6333333333333333</v>
      </c>
      <c r="O150">
        <f t="shared" si="27"/>
        <v>0.11666666666666671</v>
      </c>
      <c r="P150">
        <f t="shared" si="28"/>
        <v>1.6666666666666718E-2</v>
      </c>
      <c r="Q150">
        <f t="shared" si="29"/>
        <v>0.10000000000000003</v>
      </c>
      <c r="R150">
        <f t="shared" si="29"/>
        <v>6.6666666666666596E-2</v>
      </c>
      <c r="S150">
        <f t="shared" si="30"/>
        <v>0</v>
      </c>
      <c r="T150">
        <f t="shared" si="31"/>
        <v>0.1333333333333333</v>
      </c>
      <c r="U150">
        <f t="shared" si="32"/>
        <v>0.17716909687891083</v>
      </c>
      <c r="V150">
        <f t="shared" si="33"/>
        <v>0.15456030825826178</v>
      </c>
      <c r="W150">
        <f t="shared" si="34"/>
        <v>0.14907119849998593</v>
      </c>
      <c r="X150">
        <v>0</v>
      </c>
      <c r="Y150">
        <v>1.2</v>
      </c>
      <c r="Z150">
        <v>32.4</v>
      </c>
      <c r="AA150">
        <v>46.8</v>
      </c>
      <c r="AB150">
        <v>0</v>
      </c>
      <c r="AC150">
        <v>0</v>
      </c>
      <c r="AD150">
        <v>0</v>
      </c>
      <c r="AE150">
        <v>0</v>
      </c>
      <c r="AF150">
        <v>39.999999999999787</v>
      </c>
      <c r="AG150">
        <v>76</v>
      </c>
      <c r="AH150">
        <v>115.9999999999998</v>
      </c>
      <c r="AI150">
        <v>14.11022222222223</v>
      </c>
      <c r="AJ150">
        <v>18.943999999999971</v>
      </c>
      <c r="AK150">
        <v>14.257777777777781</v>
      </c>
      <c r="AL150">
        <v>18.742222222222221</v>
      </c>
      <c r="AM150">
        <v>66.054222222222194</v>
      </c>
      <c r="AN150">
        <v>180</v>
      </c>
      <c r="AO150">
        <v>0</v>
      </c>
      <c r="AP150">
        <v>5.4399999999999027</v>
      </c>
      <c r="AQ150">
        <v>1.26933333333323</v>
      </c>
      <c r="AR150">
        <v>22.49066666666662</v>
      </c>
      <c r="AS150">
        <v>17.04000000000023</v>
      </c>
      <c r="AT150">
        <v>17.919999999999948</v>
      </c>
      <c r="AU150">
        <v>15.83999999999982</v>
      </c>
      <c r="AV150">
        <v>0</v>
      </c>
      <c r="AW150">
        <v>29.199999999999751</v>
      </c>
      <c r="AX150">
        <v>50.8</v>
      </c>
      <c r="AY150">
        <v>39.999999999999879</v>
      </c>
      <c r="AZ150">
        <v>29.199999999999921</v>
      </c>
      <c r="BA150">
        <v>50.799999999999841</v>
      </c>
      <c r="BB150">
        <v>39.999999999999879</v>
      </c>
      <c r="BC150">
        <v>8.5200000000001133</v>
      </c>
      <c r="BD150">
        <v>11.67999999999993</v>
      </c>
      <c r="BE150">
        <v>8.5546666666665256</v>
      </c>
      <c r="BF150">
        <v>11.24533333333331</v>
      </c>
    </row>
    <row r="151" spans="1:58" x14ac:dyDescent="0.2">
      <c r="A151">
        <v>334</v>
      </c>
      <c r="B151">
        <v>35</v>
      </c>
      <c r="C151">
        <v>208.33333333333329</v>
      </c>
      <c r="D151">
        <v>250</v>
      </c>
      <c r="E151">
        <v>375</v>
      </c>
      <c r="F151">
        <f t="shared" si="24"/>
        <v>458.33333333333326</v>
      </c>
      <c r="G151">
        <f t="shared" si="24"/>
        <v>625</v>
      </c>
      <c r="H151">
        <v>791.66666666666674</v>
      </c>
      <c r="I151">
        <v>0.1785714285714286</v>
      </c>
      <c r="J151">
        <v>0.1785714285714286</v>
      </c>
      <c r="K151">
        <v>0.3214285714285714</v>
      </c>
      <c r="L151">
        <f t="shared" si="25"/>
        <v>0.35714285714285721</v>
      </c>
      <c r="M151">
        <f t="shared" si="26"/>
        <v>0.5</v>
      </c>
      <c r="N151">
        <v>0.6785714285714286</v>
      </c>
      <c r="O151">
        <f t="shared" si="27"/>
        <v>0.12857142857142861</v>
      </c>
      <c r="P151">
        <f t="shared" si="28"/>
        <v>2.8571428571428609E-2</v>
      </c>
      <c r="Q151">
        <f t="shared" si="29"/>
        <v>7.8571428571428625E-2</v>
      </c>
      <c r="R151">
        <f t="shared" si="29"/>
        <v>4.2857142857142816E-2</v>
      </c>
      <c r="S151">
        <f t="shared" si="30"/>
        <v>0</v>
      </c>
      <c r="T151">
        <f t="shared" si="31"/>
        <v>0.1785714285714286</v>
      </c>
      <c r="U151">
        <f t="shared" si="32"/>
        <v>0.22004174001070526</v>
      </c>
      <c r="V151">
        <f t="shared" si="33"/>
        <v>0.15336364681131356</v>
      </c>
      <c r="W151">
        <f t="shared" si="34"/>
        <v>0.18364228760260631</v>
      </c>
      <c r="X151">
        <v>0</v>
      </c>
      <c r="Y151">
        <v>94.8</v>
      </c>
      <c r="Z151">
        <v>67.2</v>
      </c>
      <c r="AA151">
        <v>34.799999999999997</v>
      </c>
      <c r="AB151">
        <v>0</v>
      </c>
      <c r="AC151">
        <v>0</v>
      </c>
      <c r="AD151">
        <v>0</v>
      </c>
      <c r="AE151">
        <v>0</v>
      </c>
      <c r="AF151">
        <v>38.571428571428392</v>
      </c>
      <c r="AG151">
        <v>81.428571428571445</v>
      </c>
      <c r="AH151">
        <v>119.9999999999998</v>
      </c>
      <c r="AI151">
        <v>3.142857142857133</v>
      </c>
      <c r="AJ151">
        <v>23.0857142857143</v>
      </c>
      <c r="AK151">
        <v>8.577959183673455</v>
      </c>
      <c r="AL151">
        <v>29.479183673469372</v>
      </c>
      <c r="AM151">
        <v>64.285714285714249</v>
      </c>
      <c r="AN151">
        <v>180</v>
      </c>
      <c r="AO151">
        <v>0</v>
      </c>
      <c r="AP151">
        <v>27.70285714285718</v>
      </c>
      <c r="AQ151">
        <v>10.293551020408151</v>
      </c>
      <c r="AR151">
        <v>35.375020408163103</v>
      </c>
      <c r="AS151">
        <v>3.771428571428745</v>
      </c>
      <c r="AT151">
        <v>0</v>
      </c>
      <c r="AU151">
        <v>0</v>
      </c>
      <c r="AV151">
        <v>0</v>
      </c>
      <c r="AW151">
        <v>73.371428571428424</v>
      </c>
      <c r="AX151">
        <v>3.771428571428745</v>
      </c>
      <c r="AY151">
        <v>38.571428571428577</v>
      </c>
      <c r="AZ151">
        <v>73.37142857142824</v>
      </c>
      <c r="BA151">
        <v>3.7714285714285718</v>
      </c>
      <c r="BB151">
        <v>38.571428571428413</v>
      </c>
      <c r="BC151">
        <v>1.8857142857143721</v>
      </c>
      <c r="BD151">
        <v>13.85142857142859</v>
      </c>
      <c r="BE151">
        <v>5.1467755102040744</v>
      </c>
      <c r="BF151">
        <v>17.687510204081551</v>
      </c>
    </row>
    <row r="152" spans="1:58" x14ac:dyDescent="0.2">
      <c r="A152">
        <v>334</v>
      </c>
      <c r="B152">
        <v>32.5</v>
      </c>
      <c r="C152">
        <v>208.33333333333329</v>
      </c>
      <c r="D152">
        <v>250</v>
      </c>
      <c r="E152">
        <v>375</v>
      </c>
      <c r="F152">
        <f t="shared" si="24"/>
        <v>458.33333333333326</v>
      </c>
      <c r="G152">
        <f t="shared" si="24"/>
        <v>625</v>
      </c>
      <c r="H152">
        <v>791.66666666666674</v>
      </c>
      <c r="I152">
        <v>0.19230769230769229</v>
      </c>
      <c r="J152">
        <v>0.19230769230769229</v>
      </c>
      <c r="K152">
        <v>0.3461538461538462</v>
      </c>
      <c r="L152">
        <f t="shared" si="25"/>
        <v>0.38461538461538458</v>
      </c>
      <c r="M152">
        <f t="shared" si="26"/>
        <v>0.53846153846153855</v>
      </c>
      <c r="N152">
        <v>0.73076923076923084</v>
      </c>
      <c r="O152">
        <f t="shared" si="27"/>
        <v>0.1423076923076923</v>
      </c>
      <c r="P152">
        <f t="shared" si="28"/>
        <v>4.2307692307692296E-2</v>
      </c>
      <c r="Q152">
        <f t="shared" si="29"/>
        <v>5.3846153846153821E-2</v>
      </c>
      <c r="R152">
        <f t="shared" si="29"/>
        <v>1.5384615384615441E-2</v>
      </c>
      <c r="S152">
        <f t="shared" si="30"/>
        <v>0</v>
      </c>
      <c r="T152">
        <f t="shared" si="31"/>
        <v>0.23076923076923084</v>
      </c>
      <c r="U152">
        <f t="shared" si="32"/>
        <v>0.27111974690118634</v>
      </c>
      <c r="V152">
        <f t="shared" si="33"/>
        <v>0.15792665513575235</v>
      </c>
      <c r="W152">
        <f t="shared" si="34"/>
        <v>0.23128148274419866</v>
      </c>
      <c r="X152">
        <v>0</v>
      </c>
      <c r="Y152">
        <v>12</v>
      </c>
      <c r="Z152">
        <v>22.8</v>
      </c>
      <c r="AA152">
        <v>88.8</v>
      </c>
      <c r="AB152">
        <v>0</v>
      </c>
      <c r="AC152">
        <v>0</v>
      </c>
      <c r="AD152">
        <v>0</v>
      </c>
      <c r="AE152">
        <v>0</v>
      </c>
      <c r="AF152">
        <v>32.307692307692292</v>
      </c>
      <c r="AG152">
        <v>87.692307692307708</v>
      </c>
      <c r="AH152">
        <v>120</v>
      </c>
      <c r="AI152">
        <v>27.953846153846129</v>
      </c>
      <c r="AJ152">
        <v>14.58461538461539</v>
      </c>
      <c r="AK152">
        <v>10.38461538461538</v>
      </c>
      <c r="AL152">
        <v>0.92307692307688882</v>
      </c>
      <c r="AM152">
        <v>53.84615384615379</v>
      </c>
      <c r="AN152">
        <v>180</v>
      </c>
      <c r="AO152">
        <v>0</v>
      </c>
      <c r="AP152">
        <v>0</v>
      </c>
      <c r="AQ152">
        <v>0</v>
      </c>
      <c r="AR152">
        <v>1.1076923076922769</v>
      </c>
      <c r="AS152">
        <v>33.544615384615547</v>
      </c>
      <c r="AT152">
        <v>17.501538461538601</v>
      </c>
      <c r="AU152">
        <v>12.461538461538449</v>
      </c>
      <c r="AV152">
        <v>0</v>
      </c>
      <c r="AW152">
        <v>1.1076923076922769</v>
      </c>
      <c r="AX152">
        <v>63.507692307692601</v>
      </c>
      <c r="AY152">
        <v>32.307692307692442</v>
      </c>
      <c r="AZ152">
        <v>1.107692307692318</v>
      </c>
      <c r="BA152">
        <v>63.507692307692309</v>
      </c>
      <c r="BB152">
        <v>32.307692307692307</v>
      </c>
      <c r="BC152">
        <v>16.77230769230777</v>
      </c>
      <c r="BD152">
        <v>8.7507692307693006</v>
      </c>
      <c r="BE152">
        <v>6.2307692307692273</v>
      </c>
      <c r="BF152">
        <v>0.55384615384613833</v>
      </c>
    </row>
    <row r="153" spans="1:58" x14ac:dyDescent="0.2">
      <c r="A153">
        <v>334</v>
      </c>
      <c r="B153">
        <v>30</v>
      </c>
      <c r="C153">
        <v>208.33333333333329</v>
      </c>
      <c r="D153">
        <v>250</v>
      </c>
      <c r="E153">
        <v>375</v>
      </c>
      <c r="F153">
        <f t="shared" si="24"/>
        <v>458.33333333333326</v>
      </c>
      <c r="G153">
        <f t="shared" si="24"/>
        <v>625</v>
      </c>
      <c r="H153">
        <v>791.66666666666674</v>
      </c>
      <c r="I153">
        <v>0.20833333333333329</v>
      </c>
      <c r="J153">
        <v>0.20833333333333329</v>
      </c>
      <c r="K153">
        <v>0.375</v>
      </c>
      <c r="L153">
        <f t="shared" si="25"/>
        <v>0.41666666666666657</v>
      </c>
      <c r="M153">
        <f t="shared" si="26"/>
        <v>0.58333333333333326</v>
      </c>
      <c r="N153">
        <v>0.79166666666666674</v>
      </c>
      <c r="O153">
        <f t="shared" si="27"/>
        <v>0.15833333333333327</v>
      </c>
      <c r="P153">
        <f t="shared" si="28"/>
        <v>5.8333333333333293E-2</v>
      </c>
      <c r="Q153">
        <f t="shared" si="29"/>
        <v>2.5000000000000022E-2</v>
      </c>
      <c r="R153">
        <f t="shared" si="29"/>
        <v>0</v>
      </c>
      <c r="S153">
        <f t="shared" si="30"/>
        <v>3.3333333333333215E-2</v>
      </c>
      <c r="T153">
        <f t="shared" si="31"/>
        <v>0.20833333333333326</v>
      </c>
      <c r="U153">
        <f t="shared" si="32"/>
        <v>0.26167197446845958</v>
      </c>
      <c r="V153">
        <f t="shared" si="33"/>
        <v>0.17057907908715594</v>
      </c>
      <c r="W153">
        <f t="shared" si="34"/>
        <v>0.2109831483528693</v>
      </c>
      <c r="X153">
        <v>0</v>
      </c>
      <c r="Y153">
        <v>15.6</v>
      </c>
      <c r="Z153">
        <v>22.8</v>
      </c>
      <c r="AA153">
        <v>97.2</v>
      </c>
      <c r="AB153">
        <v>0</v>
      </c>
      <c r="AC153">
        <v>0</v>
      </c>
      <c r="AD153">
        <v>0</v>
      </c>
      <c r="AE153">
        <v>0</v>
      </c>
      <c r="AF153">
        <v>28.999999999999719</v>
      </c>
      <c r="AG153">
        <v>95</v>
      </c>
      <c r="AH153">
        <v>123.9999999999997</v>
      </c>
      <c r="AI153">
        <v>27.11155555555559</v>
      </c>
      <c r="AJ153">
        <v>13.46666666666667</v>
      </c>
      <c r="AK153">
        <v>2.100000000000001</v>
      </c>
      <c r="AL153">
        <v>5.0617777777777873</v>
      </c>
      <c r="AM153">
        <v>47.740000000000038</v>
      </c>
      <c r="AN153">
        <v>180</v>
      </c>
      <c r="AO153">
        <v>0</v>
      </c>
      <c r="AP153">
        <v>0</v>
      </c>
      <c r="AQ153">
        <v>1.919999999999952</v>
      </c>
      <c r="AR153">
        <v>6.6799999999999677</v>
      </c>
      <c r="AS153">
        <v>32.639999999999993</v>
      </c>
      <c r="AT153">
        <v>16.160000000000021</v>
      </c>
      <c r="AU153">
        <v>0.6</v>
      </c>
      <c r="AV153">
        <v>0</v>
      </c>
      <c r="AW153">
        <v>8.5999999999999197</v>
      </c>
      <c r="AX153">
        <v>49.400000000000013</v>
      </c>
      <c r="AY153">
        <v>28.999999999999961</v>
      </c>
      <c r="AZ153">
        <v>8.5999999999998522</v>
      </c>
      <c r="BA153">
        <v>49.399999999999757</v>
      </c>
      <c r="BB153">
        <v>28.999999999999812</v>
      </c>
      <c r="BC153">
        <v>16.31999999999999</v>
      </c>
      <c r="BD153">
        <v>8.080000000000009</v>
      </c>
      <c r="BE153">
        <v>1.259999999999976</v>
      </c>
      <c r="BF153">
        <v>3.3399999999999839</v>
      </c>
    </row>
    <row r="154" spans="1:58" x14ac:dyDescent="0.2">
      <c r="A154">
        <v>334</v>
      </c>
      <c r="B154">
        <v>27.5</v>
      </c>
      <c r="C154">
        <v>208.33333333333329</v>
      </c>
      <c r="D154">
        <v>250</v>
      </c>
      <c r="E154">
        <v>375</v>
      </c>
      <c r="F154">
        <f t="shared" si="24"/>
        <v>458.33333333333326</v>
      </c>
      <c r="G154">
        <f t="shared" si="24"/>
        <v>625</v>
      </c>
      <c r="H154">
        <v>791.66666666666674</v>
      </c>
      <c r="I154">
        <v>0.22727272727272729</v>
      </c>
      <c r="J154">
        <v>0.22727272727272729</v>
      </c>
      <c r="K154">
        <v>0.40909090909090912</v>
      </c>
      <c r="L154">
        <f t="shared" si="25"/>
        <v>0.45454545454545459</v>
      </c>
      <c r="M154">
        <f t="shared" si="26"/>
        <v>0.63636363636363646</v>
      </c>
      <c r="N154">
        <v>0.86363636363636376</v>
      </c>
      <c r="O154">
        <f t="shared" si="27"/>
        <v>0.1772727272727273</v>
      </c>
      <c r="P154">
        <f t="shared" si="28"/>
        <v>7.7272727272727298E-2</v>
      </c>
      <c r="Q154">
        <f t="shared" si="29"/>
        <v>0</v>
      </c>
      <c r="R154">
        <f t="shared" si="29"/>
        <v>0</v>
      </c>
      <c r="S154">
        <f t="shared" si="30"/>
        <v>8.636363636363642E-2</v>
      </c>
      <c r="T154">
        <f t="shared" si="31"/>
        <v>0.13636363636363624</v>
      </c>
      <c r="U154">
        <f t="shared" si="32"/>
        <v>0.22365299272986439</v>
      </c>
      <c r="V154">
        <f t="shared" si="33"/>
        <v>0.19338224896529682</v>
      </c>
      <c r="W154">
        <f t="shared" si="34"/>
        <v>0.16141164458695179</v>
      </c>
      <c r="X154">
        <v>0</v>
      </c>
      <c r="Y154">
        <v>4.8</v>
      </c>
      <c r="Z154">
        <v>19.2</v>
      </c>
      <c r="AA154">
        <v>91.2</v>
      </c>
      <c r="AB154">
        <v>0</v>
      </c>
      <c r="AC154">
        <v>0</v>
      </c>
      <c r="AD154">
        <v>0</v>
      </c>
      <c r="AE154">
        <v>0</v>
      </c>
      <c r="AF154">
        <v>31.636363636363431</v>
      </c>
      <c r="AG154">
        <v>103.6363636363637</v>
      </c>
      <c r="AH154">
        <v>135.27272727272711</v>
      </c>
      <c r="AI154">
        <v>21.624198347107399</v>
      </c>
      <c r="AJ154">
        <v>27.490909090909081</v>
      </c>
      <c r="AK154">
        <v>0.43636363636362879</v>
      </c>
      <c r="AL154">
        <v>2.9454545454545471</v>
      </c>
      <c r="AM154">
        <v>52.496925619834663</v>
      </c>
      <c r="AN154">
        <v>180</v>
      </c>
      <c r="AO154">
        <v>0</v>
      </c>
      <c r="AP154">
        <v>8.3781818181817975</v>
      </c>
      <c r="AQ154">
        <v>0.52363636363629162</v>
      </c>
      <c r="AR154">
        <v>3.534545454545635</v>
      </c>
      <c r="AS154">
        <v>26.22545454545487</v>
      </c>
      <c r="AT154">
        <v>24.610909090909178</v>
      </c>
      <c r="AU154">
        <v>0</v>
      </c>
      <c r="AV154">
        <v>0</v>
      </c>
      <c r="AW154">
        <v>12.43636363636373</v>
      </c>
      <c r="AX154">
        <v>50.836363636364048</v>
      </c>
      <c r="AY154">
        <v>31.636363636363889</v>
      </c>
      <c r="AZ154">
        <v>12.436363636363421</v>
      </c>
      <c r="BA154">
        <v>50.836363636363593</v>
      </c>
      <c r="BB154">
        <v>31.636363636363509</v>
      </c>
      <c r="BC154">
        <v>13.11272727272743</v>
      </c>
      <c r="BD154">
        <v>16.494545454545491</v>
      </c>
      <c r="BE154">
        <v>0.26181818181814581</v>
      </c>
      <c r="BF154">
        <v>1.7672727272728179</v>
      </c>
    </row>
    <row r="155" spans="1:58" x14ac:dyDescent="0.2">
      <c r="A155">
        <v>334</v>
      </c>
      <c r="B155">
        <v>25</v>
      </c>
      <c r="C155">
        <v>208.33333333333329</v>
      </c>
      <c r="D155">
        <v>250</v>
      </c>
      <c r="E155">
        <v>375</v>
      </c>
      <c r="F155">
        <f t="shared" si="24"/>
        <v>458.33333333333326</v>
      </c>
      <c r="G155">
        <f t="shared" si="24"/>
        <v>625</v>
      </c>
      <c r="H155">
        <v>791.66666666666674</v>
      </c>
      <c r="I155">
        <v>0.25</v>
      </c>
      <c r="J155">
        <v>0.25</v>
      </c>
      <c r="K155">
        <v>0.45</v>
      </c>
      <c r="L155">
        <f t="shared" si="25"/>
        <v>0.5</v>
      </c>
      <c r="M155">
        <f t="shared" si="26"/>
        <v>0.7</v>
      </c>
      <c r="N155">
        <v>0.95</v>
      </c>
      <c r="O155">
        <f t="shared" si="27"/>
        <v>0.2</v>
      </c>
      <c r="P155">
        <f t="shared" si="28"/>
        <v>9.9999999999999978E-2</v>
      </c>
      <c r="Q155">
        <f t="shared" si="29"/>
        <v>0</v>
      </c>
      <c r="R155">
        <f t="shared" si="29"/>
        <v>0</v>
      </c>
      <c r="S155">
        <f t="shared" si="30"/>
        <v>0.14999999999999991</v>
      </c>
      <c r="T155">
        <f t="shared" si="31"/>
        <v>5.0000000000000044E-2</v>
      </c>
      <c r="U155">
        <f t="shared" si="32"/>
        <v>0.20615528128088306</v>
      </c>
      <c r="V155">
        <f t="shared" si="33"/>
        <v>0.22360679774997896</v>
      </c>
      <c r="W155">
        <f t="shared" si="34"/>
        <v>0.15811388300841892</v>
      </c>
      <c r="X155">
        <v>0</v>
      </c>
      <c r="Y155">
        <v>33.6</v>
      </c>
      <c r="Z155">
        <v>4.8</v>
      </c>
      <c r="AA155">
        <v>82.8</v>
      </c>
      <c r="AB155">
        <v>0</v>
      </c>
      <c r="AC155">
        <v>0</v>
      </c>
      <c r="AD155">
        <v>0</v>
      </c>
      <c r="AE155">
        <v>0</v>
      </c>
      <c r="AF155">
        <v>41.999999999999723</v>
      </c>
      <c r="AG155">
        <v>114</v>
      </c>
      <c r="AH155">
        <v>155.99999999999969</v>
      </c>
      <c r="AI155">
        <v>37.003999999999976</v>
      </c>
      <c r="AJ155">
        <v>3.7999999999999918</v>
      </c>
      <c r="AK155">
        <v>17.400000000000009</v>
      </c>
      <c r="AL155">
        <v>11.60000000000001</v>
      </c>
      <c r="AM155">
        <v>69.803999999999988</v>
      </c>
      <c r="AN155">
        <v>180</v>
      </c>
      <c r="AO155">
        <v>0</v>
      </c>
      <c r="AP155">
        <v>3.6</v>
      </c>
      <c r="AQ155">
        <v>20.879999999999971</v>
      </c>
      <c r="AR155">
        <v>13.92000000000003</v>
      </c>
      <c r="AS155">
        <v>44.639999999999581</v>
      </c>
      <c r="AT155">
        <v>0.95999999999993535</v>
      </c>
      <c r="AU155">
        <v>0</v>
      </c>
      <c r="AV155">
        <v>0</v>
      </c>
      <c r="AW155">
        <v>38.4</v>
      </c>
      <c r="AX155">
        <v>45.599999999999518</v>
      </c>
      <c r="AY155">
        <v>41.999999999999758</v>
      </c>
      <c r="AZ155">
        <v>38.399999999999928</v>
      </c>
      <c r="BA155">
        <v>45.599999999999532</v>
      </c>
      <c r="BB155">
        <v>41.99999999999973</v>
      </c>
      <c r="BC155">
        <v>22.319999999999791</v>
      </c>
      <c r="BD155">
        <v>2.2799999999999678</v>
      </c>
      <c r="BE155">
        <v>10.43999999999998</v>
      </c>
      <c r="BF155">
        <v>6.960000000000016</v>
      </c>
    </row>
    <row r="156" spans="1:58" x14ac:dyDescent="0.2">
      <c r="A156">
        <v>334</v>
      </c>
      <c r="B156">
        <v>22.5</v>
      </c>
      <c r="C156">
        <v>208.33333333333329</v>
      </c>
      <c r="D156">
        <v>250</v>
      </c>
      <c r="E156">
        <v>375</v>
      </c>
      <c r="F156">
        <f t="shared" si="24"/>
        <v>458.33333333333326</v>
      </c>
      <c r="G156">
        <f t="shared" si="24"/>
        <v>625</v>
      </c>
      <c r="H156">
        <v>791.66666666666674</v>
      </c>
      <c r="I156">
        <v>0.27777777777777779</v>
      </c>
      <c r="J156">
        <v>0.27777777777777779</v>
      </c>
      <c r="K156">
        <v>0.5</v>
      </c>
      <c r="L156">
        <f t="shared" si="25"/>
        <v>0.55555555555555558</v>
      </c>
      <c r="M156">
        <f t="shared" si="26"/>
        <v>0.77777777777777779</v>
      </c>
      <c r="N156">
        <v>1.055555555555556</v>
      </c>
      <c r="O156">
        <f t="shared" si="27"/>
        <v>0.17222222222222222</v>
      </c>
      <c r="P156">
        <f t="shared" si="28"/>
        <v>7.2222222222222188E-2</v>
      </c>
      <c r="Q156">
        <f t="shared" si="29"/>
        <v>0</v>
      </c>
      <c r="R156">
        <f t="shared" si="29"/>
        <v>0</v>
      </c>
      <c r="S156">
        <f t="shared" si="30"/>
        <v>0.17222222222222217</v>
      </c>
      <c r="T156">
        <f t="shared" si="31"/>
        <v>5.5555555555556024E-2</v>
      </c>
      <c r="U156">
        <f t="shared" si="32"/>
        <v>0.18096108305447048</v>
      </c>
      <c r="V156">
        <f t="shared" si="33"/>
        <v>0.18675262571079565</v>
      </c>
      <c r="W156">
        <f t="shared" si="34"/>
        <v>0.18096108305447045</v>
      </c>
      <c r="X156">
        <v>0</v>
      </c>
      <c r="Y156">
        <v>116.4</v>
      </c>
      <c r="Z156">
        <v>56.4</v>
      </c>
      <c r="AA156">
        <v>116.4</v>
      </c>
      <c r="AB156">
        <v>0</v>
      </c>
      <c r="AC156">
        <v>0</v>
      </c>
      <c r="AD156">
        <v>0</v>
      </c>
      <c r="AE156">
        <v>0</v>
      </c>
      <c r="AF156">
        <v>47.999999999999702</v>
      </c>
      <c r="AG156">
        <v>126.6666666666667</v>
      </c>
      <c r="AH156">
        <v>174.6666666666664</v>
      </c>
      <c r="AI156">
        <v>24.777777777777761</v>
      </c>
      <c r="AJ156">
        <v>38.844444444444441</v>
      </c>
      <c r="AK156">
        <v>14.949135802469151</v>
      </c>
      <c r="AL156">
        <v>0</v>
      </c>
      <c r="AM156">
        <v>78.571358024691349</v>
      </c>
      <c r="AN156">
        <v>180</v>
      </c>
      <c r="AO156">
        <v>0</v>
      </c>
      <c r="AP156">
        <v>19.946666666666719</v>
      </c>
      <c r="AQ156">
        <v>19.653333333333119</v>
      </c>
      <c r="AR156">
        <v>0</v>
      </c>
      <c r="AS156">
        <v>29.733333333333331</v>
      </c>
      <c r="AT156">
        <v>26.666666666666671</v>
      </c>
      <c r="AU156">
        <v>0</v>
      </c>
      <c r="AV156">
        <v>0</v>
      </c>
      <c r="AW156">
        <v>39.599999999999838</v>
      </c>
      <c r="AX156">
        <v>56.400000000000013</v>
      </c>
      <c r="AY156">
        <v>47.999999999999922</v>
      </c>
      <c r="AZ156">
        <v>39.599999999999604</v>
      </c>
      <c r="BA156">
        <v>56.400000000000013</v>
      </c>
      <c r="BB156">
        <v>47.999999999999801</v>
      </c>
      <c r="BC156">
        <v>14.866666666666671</v>
      </c>
      <c r="BD156">
        <v>23.30666666666669</v>
      </c>
      <c r="BE156">
        <v>9.8266666666665614</v>
      </c>
      <c r="BF156">
        <v>0</v>
      </c>
    </row>
    <row r="157" spans="1:58" x14ac:dyDescent="0.2">
      <c r="A157">
        <v>334</v>
      </c>
      <c r="B157">
        <v>20</v>
      </c>
      <c r="C157">
        <v>208.33333333333329</v>
      </c>
      <c r="D157">
        <v>250</v>
      </c>
      <c r="E157">
        <v>375</v>
      </c>
      <c r="F157">
        <f t="shared" si="24"/>
        <v>458.33333333333326</v>
      </c>
      <c r="G157">
        <f t="shared" si="24"/>
        <v>625</v>
      </c>
      <c r="H157">
        <v>791.66666666666674</v>
      </c>
      <c r="I157">
        <v>0.31250000000000011</v>
      </c>
      <c r="J157">
        <v>0.31250000000000011</v>
      </c>
      <c r="K157">
        <v>0.5625</v>
      </c>
      <c r="L157">
        <f t="shared" si="25"/>
        <v>0.62500000000000022</v>
      </c>
      <c r="M157">
        <f t="shared" si="26"/>
        <v>0.87500000000000011</v>
      </c>
      <c r="N157">
        <v>1.1875</v>
      </c>
      <c r="O157">
        <f t="shared" si="27"/>
        <v>0.1374999999999999</v>
      </c>
      <c r="P157">
        <f t="shared" si="28"/>
        <v>3.7499999999999867E-2</v>
      </c>
      <c r="Q157">
        <f t="shared" si="29"/>
        <v>0</v>
      </c>
      <c r="R157">
        <f t="shared" si="29"/>
        <v>2.5000000000000244E-2</v>
      </c>
      <c r="S157">
        <f t="shared" si="30"/>
        <v>7.4999999999999845E-2</v>
      </c>
      <c r="T157">
        <f t="shared" si="31"/>
        <v>0.1875</v>
      </c>
      <c r="U157">
        <f t="shared" si="32"/>
        <v>0.23251344047172837</v>
      </c>
      <c r="V157">
        <f t="shared" si="33"/>
        <v>0.14252192813739212</v>
      </c>
      <c r="W157">
        <f t="shared" si="34"/>
        <v>0.20348525745124632</v>
      </c>
      <c r="X157">
        <v>0</v>
      </c>
      <c r="Y157">
        <v>37.200000000000003</v>
      </c>
      <c r="Z157">
        <v>55.2</v>
      </c>
      <c r="AA157">
        <v>26.4</v>
      </c>
      <c r="AB157">
        <v>0</v>
      </c>
      <c r="AC157">
        <v>0</v>
      </c>
      <c r="AD157">
        <v>0</v>
      </c>
      <c r="AE157">
        <v>0</v>
      </c>
      <c r="AF157">
        <v>37.499999999999602</v>
      </c>
      <c r="AG157">
        <v>142.5</v>
      </c>
      <c r="AH157">
        <v>179.9999999999996</v>
      </c>
      <c r="AI157">
        <v>35.667499999999983</v>
      </c>
      <c r="AJ157">
        <v>16.232500000000019</v>
      </c>
      <c r="AK157">
        <v>7.3499999999999952</v>
      </c>
      <c r="AL157">
        <v>3.2499999999999858</v>
      </c>
      <c r="AM157">
        <v>62.499999999999979</v>
      </c>
      <c r="AN157">
        <v>180</v>
      </c>
      <c r="AO157">
        <v>0</v>
      </c>
      <c r="AP157">
        <v>0</v>
      </c>
      <c r="AQ157">
        <v>0</v>
      </c>
      <c r="AR157">
        <v>3.9</v>
      </c>
      <c r="AS157">
        <v>42.800999999999483</v>
      </c>
      <c r="AT157">
        <v>19.47900000000001</v>
      </c>
      <c r="AU157">
        <v>8.8200000000000323</v>
      </c>
      <c r="AV157">
        <v>0</v>
      </c>
      <c r="AW157">
        <v>3.9</v>
      </c>
      <c r="AX157">
        <v>71.099999999999511</v>
      </c>
      <c r="AY157">
        <v>37.499999999999758</v>
      </c>
      <c r="AZ157">
        <v>3.9000000000000061</v>
      </c>
      <c r="BA157">
        <v>71.099999999999511</v>
      </c>
      <c r="BB157">
        <v>37.499999999999758</v>
      </c>
      <c r="BC157">
        <v>21.400499999999742</v>
      </c>
      <c r="BD157">
        <v>9.7395000000000032</v>
      </c>
      <c r="BE157">
        <v>4.4100000000000161</v>
      </c>
      <c r="BF157">
        <v>1.95</v>
      </c>
    </row>
  </sheetData>
  <phoneticPr fontId="2"/>
  <conditionalFormatting sqref="I2:I157">
    <cfRule type="cellIs" dxfId="13" priority="15" operator="between">
      <formula>0.95</formula>
      <formula>1.05</formula>
    </cfRule>
    <cfRule type="cellIs" dxfId="12" priority="16" operator="between">
      <formula>0.45</formula>
      <formula>0.55</formula>
    </cfRule>
  </conditionalFormatting>
  <conditionalFormatting sqref="J2:J157">
    <cfRule type="cellIs" dxfId="11" priority="13" operator="between">
      <formula>0.85</formula>
      <formula>1.15</formula>
    </cfRule>
    <cfRule type="cellIs" dxfId="10" priority="14" operator="between">
      <formula>0.35</formula>
      <formula>0.65</formula>
    </cfRule>
  </conditionalFormatting>
  <conditionalFormatting sqref="K2:L157">
    <cfRule type="cellIs" dxfId="9" priority="11" operator="between">
      <formula>0.9</formula>
      <formula>1.1</formula>
    </cfRule>
    <cfRule type="cellIs" dxfId="8" priority="12" operator="between">
      <formula>0.4</formula>
      <formula>0.6</formula>
    </cfRule>
  </conditionalFormatting>
  <conditionalFormatting sqref="L2:L157">
    <cfRule type="cellIs" dxfId="7" priority="8" operator="between">
      <formula>2.4</formula>
      <formula>2.6</formula>
    </cfRule>
    <cfRule type="cellIs" dxfId="6" priority="9" operator="between">
      <formula>1.9</formula>
      <formula>2.1</formula>
    </cfRule>
    <cfRule type="cellIs" dxfId="5" priority="10" operator="between">
      <formula>1.4</formula>
      <formula>1.6</formula>
    </cfRule>
  </conditionalFormatting>
  <conditionalFormatting sqref="M2:M157">
    <cfRule type="cellIs" dxfId="4" priority="3" operator="between">
      <formula>2.45</formula>
      <formula>2.55</formula>
    </cfRule>
    <cfRule type="cellIs" dxfId="3" priority="4" operator="between">
      <formula>1.95</formula>
      <formula>2.05</formula>
    </cfRule>
    <cfRule type="cellIs" dxfId="2" priority="5" operator="between">
      <formula>1.45</formula>
      <formula>1.55</formula>
    </cfRule>
    <cfRule type="cellIs" dxfId="1" priority="6" operator="between">
      <formula>0.95</formula>
      <formula>1.05</formula>
    </cfRule>
    <cfRule type="cellIs" dxfId="0" priority="7" operator="between">
      <formula>0.45</formula>
      <formula>0.55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畠中　響生</cp:lastModifiedBy>
  <dcterms:created xsi:type="dcterms:W3CDTF">2026-02-07T18:18:39Z</dcterms:created>
  <dcterms:modified xsi:type="dcterms:W3CDTF">2026-03-01T10:47:03Z</dcterms:modified>
</cp:coreProperties>
</file>