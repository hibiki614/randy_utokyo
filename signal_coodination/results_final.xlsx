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bik\github\randy_utokyo\signal_coodination\"/>
    </mc:Choice>
  </mc:AlternateContent>
  <xr:revisionPtr revIDLastSave="0" documentId="13_ncr:1_{85338E4B-D322-4E00-93A8-6F59D7BF7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2" i="1"/>
  <c r="W2" i="1"/>
  <c r="P3" i="1"/>
  <c r="Q3" i="1"/>
  <c r="T3" i="1"/>
  <c r="P4" i="1"/>
  <c r="Q4" i="1"/>
  <c r="T4" i="1"/>
  <c r="P5" i="1"/>
  <c r="Q5" i="1"/>
  <c r="T5" i="1"/>
  <c r="P6" i="1"/>
  <c r="Q6" i="1"/>
  <c r="T6" i="1"/>
  <c r="P7" i="1"/>
  <c r="Q7" i="1"/>
  <c r="T7" i="1"/>
  <c r="P8" i="1"/>
  <c r="Q8" i="1"/>
  <c r="T8" i="1"/>
  <c r="P9" i="1"/>
  <c r="Q9" i="1"/>
  <c r="T9" i="1"/>
  <c r="P10" i="1"/>
  <c r="Q10" i="1"/>
  <c r="T10" i="1"/>
  <c r="P11" i="1"/>
  <c r="Q11" i="1"/>
  <c r="T11" i="1"/>
  <c r="U11" i="1" s="1"/>
  <c r="P12" i="1"/>
  <c r="Q12" i="1"/>
  <c r="T12" i="1"/>
  <c r="P13" i="1"/>
  <c r="Q13" i="1"/>
  <c r="T13" i="1"/>
  <c r="P14" i="1"/>
  <c r="Q14" i="1"/>
  <c r="T14" i="1"/>
  <c r="P15" i="1"/>
  <c r="Q15" i="1"/>
  <c r="T15" i="1"/>
  <c r="P16" i="1"/>
  <c r="Q16" i="1"/>
  <c r="T16" i="1"/>
  <c r="P17" i="1"/>
  <c r="Q17" i="1"/>
  <c r="T17" i="1"/>
  <c r="P18" i="1"/>
  <c r="Q18" i="1"/>
  <c r="T18" i="1"/>
  <c r="P19" i="1"/>
  <c r="Q19" i="1"/>
  <c r="T19" i="1"/>
  <c r="P20" i="1"/>
  <c r="Q20" i="1"/>
  <c r="T20" i="1"/>
  <c r="P21" i="1"/>
  <c r="Q21" i="1"/>
  <c r="T21" i="1"/>
  <c r="P22" i="1"/>
  <c r="Q22" i="1"/>
  <c r="T22" i="1"/>
  <c r="P23" i="1"/>
  <c r="Q23" i="1"/>
  <c r="T23" i="1"/>
  <c r="P24" i="1"/>
  <c r="Q24" i="1"/>
  <c r="R24" i="1"/>
  <c r="T24" i="1"/>
  <c r="P25" i="1"/>
  <c r="Q25" i="1"/>
  <c r="T25" i="1"/>
  <c r="P26" i="1"/>
  <c r="Q26" i="1"/>
  <c r="R26" i="1"/>
  <c r="T26" i="1"/>
  <c r="P27" i="1"/>
  <c r="Q27" i="1"/>
  <c r="T27" i="1"/>
  <c r="P28" i="1"/>
  <c r="Q28" i="1"/>
  <c r="T28" i="1"/>
  <c r="P29" i="1"/>
  <c r="Q29" i="1"/>
  <c r="T29" i="1"/>
  <c r="P30" i="1"/>
  <c r="Q30" i="1"/>
  <c r="S30" i="1"/>
  <c r="T30" i="1"/>
  <c r="P31" i="1"/>
  <c r="Q31" i="1"/>
  <c r="T31" i="1"/>
  <c r="P32" i="1"/>
  <c r="Q32" i="1"/>
  <c r="T32" i="1"/>
  <c r="P33" i="1"/>
  <c r="Q33" i="1"/>
  <c r="T33" i="1"/>
  <c r="P34" i="1"/>
  <c r="Q34" i="1"/>
  <c r="T34" i="1"/>
  <c r="P35" i="1"/>
  <c r="Q35" i="1"/>
  <c r="T35" i="1"/>
  <c r="P36" i="1"/>
  <c r="Q36" i="1"/>
  <c r="T36" i="1"/>
  <c r="P37" i="1"/>
  <c r="Q37" i="1"/>
  <c r="R37" i="1"/>
  <c r="T37" i="1"/>
  <c r="P38" i="1"/>
  <c r="Q38" i="1"/>
  <c r="T38" i="1"/>
  <c r="P39" i="1"/>
  <c r="Q39" i="1"/>
  <c r="T39" i="1"/>
  <c r="P40" i="1"/>
  <c r="Q40" i="1"/>
  <c r="T40" i="1"/>
  <c r="P41" i="1"/>
  <c r="Q41" i="1"/>
  <c r="T41" i="1"/>
  <c r="U41" i="1" s="1"/>
  <c r="P42" i="1"/>
  <c r="Q42" i="1"/>
  <c r="T42" i="1"/>
  <c r="P43" i="1"/>
  <c r="Q43" i="1"/>
  <c r="T43" i="1"/>
  <c r="U43" i="1" s="1"/>
  <c r="P44" i="1"/>
  <c r="Q44" i="1"/>
  <c r="T44" i="1"/>
  <c r="P45" i="1"/>
  <c r="Q45" i="1"/>
  <c r="T45" i="1"/>
  <c r="P46" i="1"/>
  <c r="Q46" i="1"/>
  <c r="T46" i="1"/>
  <c r="P47" i="1"/>
  <c r="Q47" i="1"/>
  <c r="T47" i="1"/>
  <c r="P48" i="1"/>
  <c r="Q48" i="1"/>
  <c r="S48" i="1"/>
  <c r="T48" i="1"/>
  <c r="P49" i="1"/>
  <c r="Q49" i="1"/>
  <c r="T49" i="1"/>
  <c r="P50" i="1"/>
  <c r="Q50" i="1"/>
  <c r="T50" i="1"/>
  <c r="P51" i="1"/>
  <c r="Q51" i="1"/>
  <c r="T51" i="1"/>
  <c r="P52" i="1"/>
  <c r="Q52" i="1"/>
  <c r="T52" i="1"/>
  <c r="P53" i="1"/>
  <c r="Q53" i="1"/>
  <c r="T53" i="1"/>
  <c r="P54" i="1"/>
  <c r="Q54" i="1"/>
  <c r="T54" i="1"/>
  <c r="P55" i="1"/>
  <c r="Q55" i="1"/>
  <c r="R55" i="1"/>
  <c r="T55" i="1"/>
  <c r="P56" i="1"/>
  <c r="Q56" i="1"/>
  <c r="T56" i="1"/>
  <c r="P57" i="1"/>
  <c r="Q57" i="1"/>
  <c r="T57" i="1"/>
  <c r="P58" i="1"/>
  <c r="Q58" i="1"/>
  <c r="T58" i="1"/>
  <c r="P59" i="1"/>
  <c r="Q59" i="1"/>
  <c r="T59" i="1"/>
  <c r="U59" i="1" s="1"/>
  <c r="P60" i="1"/>
  <c r="Q60" i="1"/>
  <c r="T60" i="1"/>
  <c r="P61" i="1"/>
  <c r="Q61" i="1"/>
  <c r="T61" i="1"/>
  <c r="P62" i="1"/>
  <c r="Q62" i="1"/>
  <c r="T62" i="1"/>
  <c r="P63" i="1"/>
  <c r="Q63" i="1"/>
  <c r="T63" i="1"/>
  <c r="P64" i="1"/>
  <c r="Q64" i="1"/>
  <c r="T64" i="1"/>
  <c r="P65" i="1"/>
  <c r="Q65" i="1"/>
  <c r="T65" i="1"/>
  <c r="P66" i="1"/>
  <c r="Q66" i="1"/>
  <c r="T66" i="1"/>
  <c r="P67" i="1"/>
  <c r="Q67" i="1"/>
  <c r="T67" i="1"/>
  <c r="P68" i="1"/>
  <c r="Q68" i="1"/>
  <c r="T68" i="1"/>
  <c r="U68" i="1" s="1"/>
  <c r="P69" i="1"/>
  <c r="Q69" i="1"/>
  <c r="T69" i="1"/>
  <c r="P70" i="1"/>
  <c r="Q70" i="1"/>
  <c r="T70" i="1"/>
  <c r="P71" i="1"/>
  <c r="Q71" i="1"/>
  <c r="T71" i="1"/>
  <c r="P72" i="1"/>
  <c r="Q72" i="1"/>
  <c r="T72" i="1"/>
  <c r="P73" i="1"/>
  <c r="Q73" i="1"/>
  <c r="R73" i="1"/>
  <c r="T73" i="1"/>
  <c r="P74" i="1"/>
  <c r="Q74" i="1"/>
  <c r="T74" i="1"/>
  <c r="P75" i="1"/>
  <c r="Q75" i="1"/>
  <c r="T75" i="1"/>
  <c r="P76" i="1"/>
  <c r="Q76" i="1"/>
  <c r="T76" i="1"/>
  <c r="P77" i="1"/>
  <c r="Q77" i="1"/>
  <c r="T77" i="1"/>
  <c r="P78" i="1"/>
  <c r="Q78" i="1"/>
  <c r="T78" i="1"/>
  <c r="P79" i="1"/>
  <c r="Q79" i="1"/>
  <c r="T79" i="1"/>
  <c r="P80" i="1"/>
  <c r="Q80" i="1"/>
  <c r="T80" i="1"/>
  <c r="P81" i="1"/>
  <c r="Q81" i="1"/>
  <c r="T81" i="1"/>
  <c r="P82" i="1"/>
  <c r="Q82" i="1"/>
  <c r="T82" i="1"/>
  <c r="P83" i="1"/>
  <c r="Q83" i="1"/>
  <c r="T83" i="1"/>
  <c r="P84" i="1"/>
  <c r="Q84" i="1"/>
  <c r="T84" i="1"/>
  <c r="P85" i="1"/>
  <c r="Q85" i="1"/>
  <c r="T85" i="1"/>
  <c r="P86" i="1"/>
  <c r="Q86" i="1"/>
  <c r="S86" i="1"/>
  <c r="T86" i="1"/>
  <c r="P87" i="1"/>
  <c r="Q87" i="1"/>
  <c r="T87" i="1"/>
  <c r="P88" i="1"/>
  <c r="Q88" i="1"/>
  <c r="T88" i="1"/>
  <c r="U88" i="1" s="1"/>
  <c r="P89" i="1"/>
  <c r="Q89" i="1"/>
  <c r="T89" i="1"/>
  <c r="P90" i="1"/>
  <c r="Q90" i="1"/>
  <c r="T90" i="1"/>
  <c r="P91" i="1"/>
  <c r="Q91" i="1"/>
  <c r="T91" i="1"/>
  <c r="P92" i="1"/>
  <c r="Q92" i="1"/>
  <c r="T92" i="1"/>
  <c r="P93" i="1"/>
  <c r="Q93" i="1"/>
  <c r="T93" i="1"/>
  <c r="P94" i="1"/>
  <c r="Q94" i="1"/>
  <c r="T94" i="1"/>
  <c r="P95" i="1"/>
  <c r="Q95" i="1"/>
  <c r="T95" i="1"/>
  <c r="P96" i="1"/>
  <c r="Q96" i="1"/>
  <c r="T96" i="1"/>
  <c r="P97" i="1"/>
  <c r="Q97" i="1"/>
  <c r="T97" i="1"/>
  <c r="P98" i="1"/>
  <c r="Q98" i="1"/>
  <c r="T98" i="1"/>
  <c r="P99" i="1"/>
  <c r="Q99" i="1"/>
  <c r="T99" i="1"/>
  <c r="U99" i="1" s="1"/>
  <c r="P100" i="1"/>
  <c r="Q100" i="1"/>
  <c r="T100" i="1"/>
  <c r="P101" i="1"/>
  <c r="Q101" i="1"/>
  <c r="T101" i="1"/>
  <c r="P102" i="1"/>
  <c r="Q102" i="1"/>
  <c r="R102" i="1"/>
  <c r="T102" i="1"/>
  <c r="P103" i="1"/>
  <c r="Q103" i="1"/>
  <c r="T103" i="1"/>
  <c r="P104" i="1"/>
  <c r="Q104" i="1"/>
  <c r="T104" i="1"/>
  <c r="U104" i="1" s="1"/>
  <c r="P105" i="1"/>
  <c r="Q105" i="1"/>
  <c r="T105" i="1"/>
  <c r="P106" i="1"/>
  <c r="Q106" i="1"/>
  <c r="R106" i="1"/>
  <c r="T106" i="1"/>
  <c r="P107" i="1"/>
  <c r="Q107" i="1"/>
  <c r="T107" i="1"/>
  <c r="U107" i="1" s="1"/>
  <c r="P108" i="1"/>
  <c r="Q108" i="1"/>
  <c r="R108" i="1"/>
  <c r="S108" i="1"/>
  <c r="T108" i="1"/>
  <c r="P109" i="1"/>
  <c r="Q109" i="1"/>
  <c r="T109" i="1"/>
  <c r="P110" i="1"/>
  <c r="Q110" i="1"/>
  <c r="T110" i="1"/>
  <c r="P111" i="1"/>
  <c r="Q111" i="1"/>
  <c r="T111" i="1"/>
  <c r="P112" i="1"/>
  <c r="Q112" i="1"/>
  <c r="T112" i="1"/>
  <c r="P113" i="1"/>
  <c r="Q113" i="1"/>
  <c r="T113" i="1"/>
  <c r="P114" i="1"/>
  <c r="Q114" i="1"/>
  <c r="T114" i="1"/>
  <c r="P115" i="1"/>
  <c r="Q115" i="1"/>
  <c r="T115" i="1"/>
  <c r="P116" i="1"/>
  <c r="Q116" i="1"/>
  <c r="T116" i="1"/>
  <c r="P117" i="1"/>
  <c r="Q117" i="1"/>
  <c r="T117" i="1"/>
  <c r="P118" i="1"/>
  <c r="Q118" i="1"/>
  <c r="T118" i="1"/>
  <c r="P119" i="1"/>
  <c r="Q119" i="1"/>
  <c r="T119" i="1"/>
  <c r="P120" i="1"/>
  <c r="Q120" i="1"/>
  <c r="T120" i="1"/>
  <c r="P121" i="1"/>
  <c r="Q121" i="1"/>
  <c r="T121" i="1"/>
  <c r="P122" i="1"/>
  <c r="Q122" i="1"/>
  <c r="R122" i="1"/>
  <c r="T122" i="1"/>
  <c r="P123" i="1"/>
  <c r="Q123" i="1"/>
  <c r="T123" i="1"/>
  <c r="U123" i="1" s="1"/>
  <c r="P124" i="1"/>
  <c r="Q124" i="1"/>
  <c r="R124" i="1"/>
  <c r="S124" i="1"/>
  <c r="T124" i="1"/>
  <c r="P125" i="1"/>
  <c r="Q125" i="1"/>
  <c r="T125" i="1"/>
  <c r="P126" i="1"/>
  <c r="Q126" i="1"/>
  <c r="T126" i="1"/>
  <c r="P127" i="1"/>
  <c r="Q127" i="1"/>
  <c r="T127" i="1"/>
  <c r="P128" i="1"/>
  <c r="Q128" i="1"/>
  <c r="R128" i="1"/>
  <c r="T128" i="1"/>
  <c r="P129" i="1"/>
  <c r="Q129" i="1"/>
  <c r="T129" i="1"/>
  <c r="P130" i="1"/>
  <c r="Q130" i="1"/>
  <c r="T130" i="1"/>
  <c r="P131" i="1"/>
  <c r="Q131" i="1"/>
  <c r="T131" i="1"/>
  <c r="P132" i="1"/>
  <c r="Q132" i="1"/>
  <c r="T132" i="1"/>
  <c r="P133" i="1"/>
  <c r="Q133" i="1"/>
  <c r="T133" i="1"/>
  <c r="U133" i="1" s="1"/>
  <c r="P134" i="1"/>
  <c r="Q134" i="1"/>
  <c r="S134" i="1"/>
  <c r="T134" i="1"/>
  <c r="P135" i="1"/>
  <c r="Q135" i="1"/>
  <c r="T135" i="1"/>
  <c r="U135" i="1" s="1"/>
  <c r="P136" i="1"/>
  <c r="Q136" i="1"/>
  <c r="T136" i="1"/>
  <c r="U136" i="1" s="1"/>
  <c r="P137" i="1"/>
  <c r="Q137" i="1"/>
  <c r="T137" i="1"/>
  <c r="P138" i="1"/>
  <c r="Q138" i="1"/>
  <c r="R138" i="1"/>
  <c r="T138" i="1"/>
  <c r="P139" i="1"/>
  <c r="Q139" i="1"/>
  <c r="T139" i="1"/>
  <c r="U139" i="1" s="1"/>
  <c r="P140" i="1"/>
  <c r="Q140" i="1"/>
  <c r="S140" i="1"/>
  <c r="T140" i="1"/>
  <c r="P141" i="1"/>
  <c r="Q141" i="1"/>
  <c r="R141" i="1"/>
  <c r="T141" i="1"/>
  <c r="P142" i="1"/>
  <c r="Q142" i="1"/>
  <c r="T142" i="1"/>
  <c r="P143" i="1"/>
  <c r="Q143" i="1"/>
  <c r="T143" i="1"/>
  <c r="P144" i="1"/>
  <c r="Q144" i="1"/>
  <c r="T144" i="1"/>
  <c r="P145" i="1"/>
  <c r="Q145" i="1"/>
  <c r="T145" i="1"/>
  <c r="P146" i="1"/>
  <c r="Q146" i="1"/>
  <c r="T146" i="1"/>
  <c r="P147" i="1"/>
  <c r="Q147" i="1"/>
  <c r="T147" i="1"/>
  <c r="P148" i="1"/>
  <c r="Q148" i="1"/>
  <c r="T148" i="1"/>
  <c r="P149" i="1"/>
  <c r="Q149" i="1"/>
  <c r="T149" i="1"/>
  <c r="P150" i="1"/>
  <c r="Q150" i="1"/>
  <c r="T150" i="1"/>
  <c r="P151" i="1"/>
  <c r="Q151" i="1"/>
  <c r="T151" i="1"/>
  <c r="P152" i="1"/>
  <c r="Q152" i="1"/>
  <c r="T152" i="1"/>
  <c r="P153" i="1"/>
  <c r="Q153" i="1"/>
  <c r="T153" i="1"/>
  <c r="P154" i="1"/>
  <c r="Q154" i="1"/>
  <c r="R154" i="1"/>
  <c r="T154" i="1"/>
  <c r="P155" i="1"/>
  <c r="Q155" i="1"/>
  <c r="T155" i="1"/>
  <c r="U155" i="1" s="1"/>
  <c r="P156" i="1"/>
  <c r="Q156" i="1"/>
  <c r="S156" i="1"/>
  <c r="T156" i="1"/>
  <c r="P157" i="1"/>
  <c r="Q157" i="1"/>
  <c r="R157" i="1"/>
  <c r="T157" i="1"/>
  <c r="T2" i="1"/>
  <c r="Q2" i="1"/>
  <c r="P2" i="1"/>
  <c r="O3" i="1"/>
  <c r="O4" i="1"/>
  <c r="O5" i="1"/>
  <c r="O6" i="1"/>
  <c r="U6" i="1" s="1"/>
  <c r="O7" i="1"/>
  <c r="O8" i="1"/>
  <c r="U8" i="1" s="1"/>
  <c r="O9" i="1"/>
  <c r="U9" i="1" s="1"/>
  <c r="O10" i="1"/>
  <c r="U10" i="1" s="1"/>
  <c r="O11" i="1"/>
  <c r="O12" i="1"/>
  <c r="U12" i="1" s="1"/>
  <c r="O13" i="1"/>
  <c r="U13" i="1" s="1"/>
  <c r="O14" i="1"/>
  <c r="U14" i="1" s="1"/>
  <c r="O15" i="1"/>
  <c r="O16" i="1"/>
  <c r="U16" i="1" s="1"/>
  <c r="O17" i="1"/>
  <c r="O18" i="1"/>
  <c r="U18" i="1" s="1"/>
  <c r="O19" i="1"/>
  <c r="O20" i="1"/>
  <c r="U20" i="1" s="1"/>
  <c r="O21" i="1"/>
  <c r="U21" i="1" s="1"/>
  <c r="O22" i="1"/>
  <c r="U22" i="1" s="1"/>
  <c r="O23" i="1"/>
  <c r="O24" i="1"/>
  <c r="U24" i="1" s="1"/>
  <c r="O25" i="1"/>
  <c r="U25" i="1" s="1"/>
  <c r="O26" i="1"/>
  <c r="O27" i="1"/>
  <c r="O28" i="1"/>
  <c r="O29" i="1"/>
  <c r="U29" i="1" s="1"/>
  <c r="O30" i="1"/>
  <c r="U30" i="1" s="1"/>
  <c r="O31" i="1"/>
  <c r="O32" i="1"/>
  <c r="U32" i="1" s="1"/>
  <c r="O33" i="1"/>
  <c r="U33" i="1" s="1"/>
  <c r="O34" i="1"/>
  <c r="U34" i="1" s="1"/>
  <c r="O35" i="1"/>
  <c r="O36" i="1"/>
  <c r="U36" i="1" s="1"/>
  <c r="O37" i="1"/>
  <c r="U37" i="1" s="1"/>
  <c r="O38" i="1"/>
  <c r="U38" i="1" s="1"/>
  <c r="O39" i="1"/>
  <c r="O40" i="1"/>
  <c r="U40" i="1" s="1"/>
  <c r="O41" i="1"/>
  <c r="O42" i="1"/>
  <c r="U42" i="1" s="1"/>
  <c r="O43" i="1"/>
  <c r="O44" i="1"/>
  <c r="O45" i="1"/>
  <c r="O46" i="1"/>
  <c r="U46" i="1" s="1"/>
  <c r="O47" i="1"/>
  <c r="O48" i="1"/>
  <c r="O49" i="1"/>
  <c r="O50" i="1"/>
  <c r="O51" i="1"/>
  <c r="O52" i="1"/>
  <c r="O53" i="1"/>
  <c r="O54" i="1"/>
  <c r="U54" i="1" s="1"/>
  <c r="O55" i="1"/>
  <c r="O56" i="1"/>
  <c r="U56" i="1" s="1"/>
  <c r="O57" i="1"/>
  <c r="O58" i="1"/>
  <c r="U58" i="1" s="1"/>
  <c r="O59" i="1"/>
  <c r="O60" i="1"/>
  <c r="O61" i="1"/>
  <c r="O62" i="1"/>
  <c r="U62" i="1" s="1"/>
  <c r="O63" i="1"/>
  <c r="O64" i="1"/>
  <c r="O65" i="1"/>
  <c r="O66" i="1"/>
  <c r="O67" i="1"/>
  <c r="O68" i="1"/>
  <c r="O69" i="1"/>
  <c r="O70" i="1"/>
  <c r="U70" i="1" s="1"/>
  <c r="O71" i="1"/>
  <c r="O72" i="1"/>
  <c r="O73" i="1"/>
  <c r="O74" i="1"/>
  <c r="U74" i="1" s="1"/>
  <c r="O75" i="1"/>
  <c r="O76" i="1"/>
  <c r="O77" i="1"/>
  <c r="O78" i="1"/>
  <c r="U78" i="1" s="1"/>
  <c r="O79" i="1"/>
  <c r="O80" i="1"/>
  <c r="O81" i="1"/>
  <c r="O82" i="1"/>
  <c r="U82" i="1" s="1"/>
  <c r="O83" i="1"/>
  <c r="O84" i="1"/>
  <c r="O85" i="1"/>
  <c r="O86" i="1"/>
  <c r="U86" i="1" s="1"/>
  <c r="O87" i="1"/>
  <c r="O88" i="1"/>
  <c r="O89" i="1"/>
  <c r="O90" i="1"/>
  <c r="U90" i="1" s="1"/>
  <c r="O91" i="1"/>
  <c r="O92" i="1"/>
  <c r="O93" i="1"/>
  <c r="O94" i="1"/>
  <c r="U94" i="1" s="1"/>
  <c r="O95" i="1"/>
  <c r="O96" i="1"/>
  <c r="O97" i="1"/>
  <c r="O98" i="1"/>
  <c r="U98" i="1" s="1"/>
  <c r="O99" i="1"/>
  <c r="O100" i="1"/>
  <c r="O101" i="1"/>
  <c r="O102" i="1"/>
  <c r="U102" i="1" s="1"/>
  <c r="O103" i="1"/>
  <c r="O104" i="1"/>
  <c r="O105" i="1"/>
  <c r="O106" i="1"/>
  <c r="U106" i="1" s="1"/>
  <c r="O107" i="1"/>
  <c r="O108" i="1"/>
  <c r="O109" i="1"/>
  <c r="O110" i="1"/>
  <c r="U110" i="1" s="1"/>
  <c r="O111" i="1"/>
  <c r="O112" i="1"/>
  <c r="O113" i="1"/>
  <c r="O114" i="1"/>
  <c r="U114" i="1" s="1"/>
  <c r="O115" i="1"/>
  <c r="O116" i="1"/>
  <c r="O117" i="1"/>
  <c r="O118" i="1"/>
  <c r="U118" i="1" s="1"/>
  <c r="O119" i="1"/>
  <c r="O120" i="1"/>
  <c r="O121" i="1"/>
  <c r="O122" i="1"/>
  <c r="U122" i="1" s="1"/>
  <c r="O123" i="1"/>
  <c r="O124" i="1"/>
  <c r="O125" i="1"/>
  <c r="O126" i="1"/>
  <c r="U126" i="1" s="1"/>
  <c r="O127" i="1"/>
  <c r="O128" i="1"/>
  <c r="O129" i="1"/>
  <c r="O130" i="1"/>
  <c r="U130" i="1" s="1"/>
  <c r="O131" i="1"/>
  <c r="O132" i="1"/>
  <c r="O133" i="1"/>
  <c r="O134" i="1"/>
  <c r="U134" i="1" s="1"/>
  <c r="O135" i="1"/>
  <c r="O136" i="1"/>
  <c r="O137" i="1"/>
  <c r="O138" i="1"/>
  <c r="U138" i="1" s="1"/>
  <c r="O139" i="1"/>
  <c r="O140" i="1"/>
  <c r="O141" i="1"/>
  <c r="O142" i="1"/>
  <c r="U142" i="1" s="1"/>
  <c r="O143" i="1"/>
  <c r="O144" i="1"/>
  <c r="O145" i="1"/>
  <c r="O146" i="1"/>
  <c r="U146" i="1" s="1"/>
  <c r="O147" i="1"/>
  <c r="O148" i="1"/>
  <c r="O149" i="1"/>
  <c r="O150" i="1"/>
  <c r="U150" i="1" s="1"/>
  <c r="O151" i="1"/>
  <c r="O152" i="1"/>
  <c r="O153" i="1"/>
  <c r="O154" i="1"/>
  <c r="U154" i="1" s="1"/>
  <c r="O155" i="1"/>
  <c r="O156" i="1"/>
  <c r="O157" i="1"/>
  <c r="O2" i="1"/>
  <c r="U2" i="1" s="1"/>
  <c r="G157" i="2"/>
  <c r="M157" i="2" s="1"/>
  <c r="F157" i="2"/>
  <c r="L157" i="2" s="1"/>
  <c r="G156" i="2"/>
  <c r="M156" i="2" s="1"/>
  <c r="F156" i="2"/>
  <c r="L156" i="2" s="1"/>
  <c r="M155" i="2"/>
  <c r="L155" i="2"/>
  <c r="G155" i="2"/>
  <c r="F155" i="2"/>
  <c r="L154" i="2"/>
  <c r="G154" i="2"/>
  <c r="M154" i="2" s="1"/>
  <c r="F154" i="2"/>
  <c r="M153" i="2"/>
  <c r="L153" i="2"/>
  <c r="G153" i="2"/>
  <c r="F153" i="2"/>
  <c r="L152" i="2"/>
  <c r="G152" i="2"/>
  <c r="M152" i="2" s="1"/>
  <c r="F152" i="2"/>
  <c r="M151" i="2"/>
  <c r="L151" i="2"/>
  <c r="G151" i="2"/>
  <c r="F151" i="2"/>
  <c r="M150" i="2"/>
  <c r="L150" i="2"/>
  <c r="G150" i="2"/>
  <c r="F150" i="2"/>
  <c r="M149" i="2"/>
  <c r="L149" i="2"/>
  <c r="G149" i="2"/>
  <c r="F149" i="2"/>
  <c r="M148" i="2"/>
  <c r="L148" i="2"/>
  <c r="G148" i="2"/>
  <c r="F148" i="2"/>
  <c r="M147" i="2"/>
  <c r="L147" i="2"/>
  <c r="G147" i="2"/>
  <c r="F147" i="2"/>
  <c r="M146" i="2"/>
  <c r="L146" i="2"/>
  <c r="G146" i="2"/>
  <c r="F146" i="2"/>
  <c r="M145" i="2"/>
  <c r="L145" i="2"/>
  <c r="G145" i="2"/>
  <c r="F145" i="2"/>
  <c r="M144" i="2"/>
  <c r="L144" i="2"/>
  <c r="G144" i="2"/>
  <c r="F144" i="2"/>
  <c r="M143" i="2"/>
  <c r="L143" i="2"/>
  <c r="G143" i="2"/>
  <c r="F143" i="2"/>
  <c r="M142" i="2"/>
  <c r="L142" i="2"/>
  <c r="G142" i="2"/>
  <c r="F142" i="2"/>
  <c r="M141" i="2"/>
  <c r="L141" i="2"/>
  <c r="G141" i="2"/>
  <c r="F141" i="2"/>
  <c r="M140" i="2"/>
  <c r="L140" i="2"/>
  <c r="G140" i="2"/>
  <c r="F140" i="2"/>
  <c r="M139" i="2"/>
  <c r="L139" i="2"/>
  <c r="G139" i="2"/>
  <c r="F139" i="2"/>
  <c r="M138" i="2"/>
  <c r="L138" i="2"/>
  <c r="G138" i="2"/>
  <c r="F138" i="2"/>
  <c r="M137" i="2"/>
  <c r="L137" i="2"/>
  <c r="G137" i="2"/>
  <c r="F137" i="2"/>
  <c r="M136" i="2"/>
  <c r="L136" i="2"/>
  <c r="G136" i="2"/>
  <c r="F136" i="2"/>
  <c r="M135" i="2"/>
  <c r="L135" i="2"/>
  <c r="G135" i="2"/>
  <c r="F135" i="2"/>
  <c r="M134" i="2"/>
  <c r="L134" i="2"/>
  <c r="G134" i="2"/>
  <c r="F134" i="2"/>
  <c r="M133" i="2"/>
  <c r="L133" i="2"/>
  <c r="G133" i="2"/>
  <c r="F133" i="2"/>
  <c r="M132" i="2"/>
  <c r="L132" i="2"/>
  <c r="G132" i="2"/>
  <c r="F132" i="2"/>
  <c r="M131" i="2"/>
  <c r="L131" i="2"/>
  <c r="G131" i="2"/>
  <c r="F131" i="2"/>
  <c r="M130" i="2"/>
  <c r="L130" i="2"/>
  <c r="G130" i="2"/>
  <c r="F130" i="2"/>
  <c r="M129" i="2"/>
  <c r="L129" i="2"/>
  <c r="G129" i="2"/>
  <c r="F129" i="2"/>
  <c r="M128" i="2"/>
  <c r="L128" i="2"/>
  <c r="G128" i="2"/>
  <c r="F128" i="2"/>
  <c r="M127" i="2"/>
  <c r="L127" i="2"/>
  <c r="G127" i="2"/>
  <c r="F127" i="2"/>
  <c r="M126" i="2"/>
  <c r="L126" i="2"/>
  <c r="G126" i="2"/>
  <c r="F126" i="2"/>
  <c r="M125" i="2"/>
  <c r="L125" i="2"/>
  <c r="G125" i="2"/>
  <c r="F125" i="2"/>
  <c r="M124" i="2"/>
  <c r="L124" i="2"/>
  <c r="G124" i="2"/>
  <c r="F124" i="2"/>
  <c r="M123" i="2"/>
  <c r="L123" i="2"/>
  <c r="G123" i="2"/>
  <c r="F123" i="2"/>
  <c r="M122" i="2"/>
  <c r="L122" i="2"/>
  <c r="G122" i="2"/>
  <c r="F122" i="2"/>
  <c r="M121" i="2"/>
  <c r="L121" i="2"/>
  <c r="G121" i="2"/>
  <c r="F121" i="2"/>
  <c r="M120" i="2"/>
  <c r="L120" i="2"/>
  <c r="G120" i="2"/>
  <c r="F120" i="2"/>
  <c r="M119" i="2"/>
  <c r="L119" i="2"/>
  <c r="G119" i="2"/>
  <c r="F119" i="2"/>
  <c r="M118" i="2"/>
  <c r="L118" i="2"/>
  <c r="G118" i="2"/>
  <c r="F118" i="2"/>
  <c r="M117" i="2"/>
  <c r="L117" i="2"/>
  <c r="G117" i="2"/>
  <c r="F117" i="2"/>
  <c r="M116" i="2"/>
  <c r="L116" i="2"/>
  <c r="G116" i="2"/>
  <c r="F116" i="2"/>
  <c r="M115" i="2"/>
  <c r="L115" i="2"/>
  <c r="G115" i="2"/>
  <c r="F115" i="2"/>
  <c r="M114" i="2"/>
  <c r="L114" i="2"/>
  <c r="G114" i="2"/>
  <c r="F114" i="2"/>
  <c r="M113" i="2"/>
  <c r="L113" i="2"/>
  <c r="G113" i="2"/>
  <c r="F113" i="2"/>
  <c r="M112" i="2"/>
  <c r="L112" i="2"/>
  <c r="G112" i="2"/>
  <c r="F112" i="2"/>
  <c r="M111" i="2"/>
  <c r="L111" i="2"/>
  <c r="G111" i="2"/>
  <c r="F111" i="2"/>
  <c r="M110" i="2"/>
  <c r="L110" i="2"/>
  <c r="G110" i="2"/>
  <c r="F110" i="2"/>
  <c r="M109" i="2"/>
  <c r="L109" i="2"/>
  <c r="G109" i="2"/>
  <c r="F109" i="2"/>
  <c r="M108" i="2"/>
  <c r="L108" i="2"/>
  <c r="G108" i="2"/>
  <c r="F108" i="2"/>
  <c r="M107" i="2"/>
  <c r="L107" i="2"/>
  <c r="G107" i="2"/>
  <c r="F107" i="2"/>
  <c r="M106" i="2"/>
  <c r="L106" i="2"/>
  <c r="G106" i="2"/>
  <c r="F106" i="2"/>
  <c r="M105" i="2"/>
  <c r="L105" i="2"/>
  <c r="G105" i="2"/>
  <c r="F105" i="2"/>
  <c r="M104" i="2"/>
  <c r="L104" i="2"/>
  <c r="G104" i="2"/>
  <c r="F104" i="2"/>
  <c r="M103" i="2"/>
  <c r="L103" i="2"/>
  <c r="G103" i="2"/>
  <c r="F103" i="2"/>
  <c r="M102" i="2"/>
  <c r="L102" i="2"/>
  <c r="G102" i="2"/>
  <c r="F102" i="2"/>
  <c r="M101" i="2"/>
  <c r="L101" i="2"/>
  <c r="G101" i="2"/>
  <c r="F101" i="2"/>
  <c r="M100" i="2"/>
  <c r="L100" i="2"/>
  <c r="G100" i="2"/>
  <c r="F100" i="2"/>
  <c r="M99" i="2"/>
  <c r="L99" i="2"/>
  <c r="G99" i="2"/>
  <c r="F99" i="2"/>
  <c r="M98" i="2"/>
  <c r="L98" i="2"/>
  <c r="G98" i="2"/>
  <c r="F98" i="2"/>
  <c r="M97" i="2"/>
  <c r="L97" i="2"/>
  <c r="G97" i="2"/>
  <c r="F97" i="2"/>
  <c r="M96" i="2"/>
  <c r="L96" i="2"/>
  <c r="G96" i="2"/>
  <c r="F96" i="2"/>
  <c r="M95" i="2"/>
  <c r="L95" i="2"/>
  <c r="G95" i="2"/>
  <c r="F95" i="2"/>
  <c r="M94" i="2"/>
  <c r="L94" i="2"/>
  <c r="G94" i="2"/>
  <c r="F94" i="2"/>
  <c r="M93" i="2"/>
  <c r="L93" i="2"/>
  <c r="G93" i="2"/>
  <c r="F93" i="2"/>
  <c r="M92" i="2"/>
  <c r="L92" i="2"/>
  <c r="G92" i="2"/>
  <c r="F92" i="2"/>
  <c r="M91" i="2"/>
  <c r="L91" i="2"/>
  <c r="G91" i="2"/>
  <c r="F91" i="2"/>
  <c r="M90" i="2"/>
  <c r="L90" i="2"/>
  <c r="G90" i="2"/>
  <c r="F90" i="2"/>
  <c r="M89" i="2"/>
  <c r="L89" i="2"/>
  <c r="G89" i="2"/>
  <c r="F89" i="2"/>
  <c r="M88" i="2"/>
  <c r="L88" i="2"/>
  <c r="G88" i="2"/>
  <c r="F88" i="2"/>
  <c r="M87" i="2"/>
  <c r="L87" i="2"/>
  <c r="G87" i="2"/>
  <c r="F87" i="2"/>
  <c r="M86" i="2"/>
  <c r="L86" i="2"/>
  <c r="G86" i="2"/>
  <c r="F86" i="2"/>
  <c r="M85" i="2"/>
  <c r="L85" i="2"/>
  <c r="G85" i="2"/>
  <c r="F85" i="2"/>
  <c r="M84" i="2"/>
  <c r="L84" i="2"/>
  <c r="G84" i="2"/>
  <c r="F84" i="2"/>
  <c r="M83" i="2"/>
  <c r="L83" i="2"/>
  <c r="G83" i="2"/>
  <c r="F83" i="2"/>
  <c r="M82" i="2"/>
  <c r="L82" i="2"/>
  <c r="G82" i="2"/>
  <c r="F82" i="2"/>
  <c r="M81" i="2"/>
  <c r="L81" i="2"/>
  <c r="G81" i="2"/>
  <c r="F81" i="2"/>
  <c r="M80" i="2"/>
  <c r="L80" i="2"/>
  <c r="G80" i="2"/>
  <c r="F80" i="2"/>
  <c r="M79" i="2"/>
  <c r="L79" i="2"/>
  <c r="G79" i="2"/>
  <c r="F79" i="2"/>
  <c r="M78" i="2"/>
  <c r="L78" i="2"/>
  <c r="G78" i="2"/>
  <c r="F78" i="2"/>
  <c r="M77" i="2"/>
  <c r="L77" i="2"/>
  <c r="G77" i="2"/>
  <c r="F77" i="2"/>
  <c r="M76" i="2"/>
  <c r="L76" i="2"/>
  <c r="G76" i="2"/>
  <c r="F76" i="2"/>
  <c r="M75" i="2"/>
  <c r="L75" i="2"/>
  <c r="G75" i="2"/>
  <c r="F75" i="2"/>
  <c r="M74" i="2"/>
  <c r="L74" i="2"/>
  <c r="G74" i="2"/>
  <c r="F74" i="2"/>
  <c r="M73" i="2"/>
  <c r="L73" i="2"/>
  <c r="G73" i="2"/>
  <c r="F73" i="2"/>
  <c r="M72" i="2"/>
  <c r="L72" i="2"/>
  <c r="G72" i="2"/>
  <c r="F72" i="2"/>
  <c r="M71" i="2"/>
  <c r="L71" i="2"/>
  <c r="G71" i="2"/>
  <c r="F71" i="2"/>
  <c r="M70" i="2"/>
  <c r="L70" i="2"/>
  <c r="G70" i="2"/>
  <c r="F70" i="2"/>
  <c r="M69" i="2"/>
  <c r="L69" i="2"/>
  <c r="G69" i="2"/>
  <c r="F69" i="2"/>
  <c r="M68" i="2"/>
  <c r="L68" i="2"/>
  <c r="G68" i="2"/>
  <c r="F68" i="2"/>
  <c r="M67" i="2"/>
  <c r="L67" i="2"/>
  <c r="G67" i="2"/>
  <c r="F67" i="2"/>
  <c r="M66" i="2"/>
  <c r="L66" i="2"/>
  <c r="G66" i="2"/>
  <c r="F66" i="2"/>
  <c r="M65" i="2"/>
  <c r="L65" i="2"/>
  <c r="G65" i="2"/>
  <c r="F65" i="2"/>
  <c r="M64" i="2"/>
  <c r="L64" i="2"/>
  <c r="G64" i="2"/>
  <c r="F64" i="2"/>
  <c r="M63" i="2"/>
  <c r="L63" i="2"/>
  <c r="G63" i="2"/>
  <c r="F63" i="2"/>
  <c r="M62" i="2"/>
  <c r="L62" i="2"/>
  <c r="G62" i="2"/>
  <c r="F62" i="2"/>
  <c r="M61" i="2"/>
  <c r="L61" i="2"/>
  <c r="G61" i="2"/>
  <c r="F61" i="2"/>
  <c r="M60" i="2"/>
  <c r="L60" i="2"/>
  <c r="G60" i="2"/>
  <c r="F60" i="2"/>
  <c r="M59" i="2"/>
  <c r="L59" i="2"/>
  <c r="G59" i="2"/>
  <c r="F59" i="2"/>
  <c r="M58" i="2"/>
  <c r="L58" i="2"/>
  <c r="G58" i="2"/>
  <c r="F58" i="2"/>
  <c r="M57" i="2"/>
  <c r="L57" i="2"/>
  <c r="G57" i="2"/>
  <c r="F57" i="2"/>
  <c r="M56" i="2"/>
  <c r="L56" i="2"/>
  <c r="G56" i="2"/>
  <c r="F56" i="2"/>
  <c r="M55" i="2"/>
  <c r="L55" i="2"/>
  <c r="G55" i="2"/>
  <c r="F55" i="2"/>
  <c r="M54" i="2"/>
  <c r="L54" i="2"/>
  <c r="G54" i="2"/>
  <c r="F54" i="2"/>
  <c r="M53" i="2"/>
  <c r="L53" i="2"/>
  <c r="G53" i="2"/>
  <c r="F53" i="2"/>
  <c r="M52" i="2"/>
  <c r="L52" i="2"/>
  <c r="G52" i="2"/>
  <c r="F52" i="2"/>
  <c r="M51" i="2"/>
  <c r="L51" i="2"/>
  <c r="G51" i="2"/>
  <c r="F51" i="2"/>
  <c r="M50" i="2"/>
  <c r="L50" i="2"/>
  <c r="G50" i="2"/>
  <c r="F50" i="2"/>
  <c r="M49" i="2"/>
  <c r="L49" i="2"/>
  <c r="G49" i="2"/>
  <c r="F49" i="2"/>
  <c r="M48" i="2"/>
  <c r="L48" i="2"/>
  <c r="G48" i="2"/>
  <c r="F48" i="2"/>
  <c r="M47" i="2"/>
  <c r="L47" i="2"/>
  <c r="G47" i="2"/>
  <c r="F47" i="2"/>
  <c r="M46" i="2"/>
  <c r="L46" i="2"/>
  <c r="G46" i="2"/>
  <c r="F46" i="2"/>
  <c r="M45" i="2"/>
  <c r="L45" i="2"/>
  <c r="G45" i="2"/>
  <c r="F45" i="2"/>
  <c r="M44" i="2"/>
  <c r="L44" i="2"/>
  <c r="G44" i="2"/>
  <c r="F44" i="2"/>
  <c r="M43" i="2"/>
  <c r="L43" i="2"/>
  <c r="G43" i="2"/>
  <c r="F43" i="2"/>
  <c r="M42" i="2"/>
  <c r="L42" i="2"/>
  <c r="G42" i="2"/>
  <c r="F42" i="2"/>
  <c r="M41" i="2"/>
  <c r="L41" i="2"/>
  <c r="G41" i="2"/>
  <c r="F41" i="2"/>
  <c r="M40" i="2"/>
  <c r="L40" i="2"/>
  <c r="G40" i="2"/>
  <c r="F40" i="2"/>
  <c r="M39" i="2"/>
  <c r="L39" i="2"/>
  <c r="G39" i="2"/>
  <c r="F39" i="2"/>
  <c r="M38" i="2"/>
  <c r="L38" i="2"/>
  <c r="G38" i="2"/>
  <c r="F38" i="2"/>
  <c r="M37" i="2"/>
  <c r="L37" i="2"/>
  <c r="G37" i="2"/>
  <c r="F37" i="2"/>
  <c r="M36" i="2"/>
  <c r="L36" i="2"/>
  <c r="G36" i="2"/>
  <c r="F36" i="2"/>
  <c r="M35" i="2"/>
  <c r="L35" i="2"/>
  <c r="G35" i="2"/>
  <c r="F35" i="2"/>
  <c r="M34" i="2"/>
  <c r="L34" i="2"/>
  <c r="G34" i="2"/>
  <c r="F34" i="2"/>
  <c r="M33" i="2"/>
  <c r="L33" i="2"/>
  <c r="G33" i="2"/>
  <c r="F33" i="2"/>
  <c r="M32" i="2"/>
  <c r="L32" i="2"/>
  <c r="G32" i="2"/>
  <c r="F32" i="2"/>
  <c r="M31" i="2"/>
  <c r="L31" i="2"/>
  <c r="G31" i="2"/>
  <c r="F31" i="2"/>
  <c r="M30" i="2"/>
  <c r="L30" i="2"/>
  <c r="G30" i="2"/>
  <c r="F30" i="2"/>
  <c r="M29" i="2"/>
  <c r="L29" i="2"/>
  <c r="G29" i="2"/>
  <c r="F29" i="2"/>
  <c r="M28" i="2"/>
  <c r="L28" i="2"/>
  <c r="G28" i="2"/>
  <c r="F28" i="2"/>
  <c r="M27" i="2"/>
  <c r="L27" i="2"/>
  <c r="G27" i="2"/>
  <c r="F27" i="2"/>
  <c r="M26" i="2"/>
  <c r="L26" i="2"/>
  <c r="G26" i="2"/>
  <c r="F26" i="2"/>
  <c r="M25" i="2"/>
  <c r="L25" i="2"/>
  <c r="G25" i="2"/>
  <c r="F25" i="2"/>
  <c r="M24" i="2"/>
  <c r="L24" i="2"/>
  <c r="G24" i="2"/>
  <c r="F24" i="2"/>
  <c r="M23" i="2"/>
  <c r="L23" i="2"/>
  <c r="G23" i="2"/>
  <c r="F23" i="2"/>
  <c r="M22" i="2"/>
  <c r="L22" i="2"/>
  <c r="G22" i="2"/>
  <c r="F22" i="2"/>
  <c r="M21" i="2"/>
  <c r="L21" i="2"/>
  <c r="G21" i="2"/>
  <c r="F21" i="2"/>
  <c r="M20" i="2"/>
  <c r="L20" i="2"/>
  <c r="G20" i="2"/>
  <c r="F20" i="2"/>
  <c r="M19" i="2"/>
  <c r="L19" i="2"/>
  <c r="G19" i="2"/>
  <c r="F19" i="2"/>
  <c r="M18" i="2"/>
  <c r="L18" i="2"/>
  <c r="G18" i="2"/>
  <c r="F18" i="2"/>
  <c r="M17" i="2"/>
  <c r="L17" i="2"/>
  <c r="G17" i="2"/>
  <c r="F17" i="2"/>
  <c r="M16" i="2"/>
  <c r="L16" i="2"/>
  <c r="G16" i="2"/>
  <c r="F16" i="2"/>
  <c r="M15" i="2"/>
  <c r="L15" i="2"/>
  <c r="G15" i="2"/>
  <c r="F15" i="2"/>
  <c r="M14" i="2"/>
  <c r="L14" i="2"/>
  <c r="G14" i="2"/>
  <c r="F14" i="2"/>
  <c r="M13" i="2"/>
  <c r="L13" i="2"/>
  <c r="G13" i="2"/>
  <c r="F13" i="2"/>
  <c r="M12" i="2"/>
  <c r="L12" i="2"/>
  <c r="G12" i="2"/>
  <c r="F12" i="2"/>
  <c r="M11" i="2"/>
  <c r="L11" i="2"/>
  <c r="G11" i="2"/>
  <c r="F11" i="2"/>
  <c r="M10" i="2"/>
  <c r="L10" i="2"/>
  <c r="G10" i="2"/>
  <c r="F10" i="2"/>
  <c r="M9" i="2"/>
  <c r="L9" i="2"/>
  <c r="G9" i="2"/>
  <c r="F9" i="2"/>
  <c r="M8" i="2"/>
  <c r="L8" i="2"/>
  <c r="G8" i="2"/>
  <c r="F8" i="2"/>
  <c r="M7" i="2"/>
  <c r="L7" i="2"/>
  <c r="G7" i="2"/>
  <c r="F7" i="2"/>
  <c r="M6" i="2"/>
  <c r="L6" i="2"/>
  <c r="G6" i="2"/>
  <c r="F6" i="2"/>
  <c r="M5" i="2"/>
  <c r="L5" i="2"/>
  <c r="G5" i="2"/>
  <c r="F5" i="2"/>
  <c r="M4" i="2"/>
  <c r="L4" i="2"/>
  <c r="G4" i="2"/>
  <c r="F4" i="2"/>
  <c r="M3" i="2"/>
  <c r="L3" i="2"/>
  <c r="G3" i="2"/>
  <c r="F3" i="2"/>
  <c r="M2" i="2"/>
  <c r="L2" i="2"/>
  <c r="G2" i="2"/>
  <c r="F2" i="2"/>
  <c r="F3" i="1"/>
  <c r="L3" i="1" s="1"/>
  <c r="R3" i="1" s="1"/>
  <c r="G3" i="1"/>
  <c r="M3" i="1" s="1"/>
  <c r="S3" i="1" s="1"/>
  <c r="F4" i="1"/>
  <c r="L4" i="1" s="1"/>
  <c r="R4" i="1" s="1"/>
  <c r="G4" i="1"/>
  <c r="M4" i="1" s="1"/>
  <c r="S4" i="1" s="1"/>
  <c r="F5" i="1"/>
  <c r="L5" i="1" s="1"/>
  <c r="R5" i="1" s="1"/>
  <c r="G5" i="1"/>
  <c r="M5" i="1" s="1"/>
  <c r="S5" i="1" s="1"/>
  <c r="F6" i="1"/>
  <c r="L6" i="1" s="1"/>
  <c r="R6" i="1" s="1"/>
  <c r="G6" i="1"/>
  <c r="M6" i="1" s="1"/>
  <c r="S6" i="1" s="1"/>
  <c r="F7" i="1"/>
  <c r="L7" i="1" s="1"/>
  <c r="R7" i="1" s="1"/>
  <c r="G7" i="1"/>
  <c r="M7" i="1" s="1"/>
  <c r="S7" i="1" s="1"/>
  <c r="F8" i="1"/>
  <c r="L8" i="1" s="1"/>
  <c r="R8" i="1" s="1"/>
  <c r="G8" i="1"/>
  <c r="M8" i="1" s="1"/>
  <c r="S8" i="1" s="1"/>
  <c r="F9" i="1"/>
  <c r="L9" i="1" s="1"/>
  <c r="R9" i="1" s="1"/>
  <c r="G9" i="1"/>
  <c r="M9" i="1" s="1"/>
  <c r="S9" i="1" s="1"/>
  <c r="F10" i="1"/>
  <c r="L10" i="1" s="1"/>
  <c r="R10" i="1" s="1"/>
  <c r="G10" i="1"/>
  <c r="M10" i="1" s="1"/>
  <c r="S10" i="1" s="1"/>
  <c r="F11" i="1"/>
  <c r="L11" i="1" s="1"/>
  <c r="R11" i="1" s="1"/>
  <c r="G11" i="1"/>
  <c r="M11" i="1" s="1"/>
  <c r="S11" i="1" s="1"/>
  <c r="F12" i="1"/>
  <c r="L12" i="1" s="1"/>
  <c r="R12" i="1" s="1"/>
  <c r="G12" i="1"/>
  <c r="M12" i="1" s="1"/>
  <c r="S12" i="1" s="1"/>
  <c r="F13" i="1"/>
  <c r="L13" i="1" s="1"/>
  <c r="R13" i="1" s="1"/>
  <c r="G13" i="1"/>
  <c r="M13" i="1" s="1"/>
  <c r="S13" i="1" s="1"/>
  <c r="F14" i="1"/>
  <c r="L14" i="1" s="1"/>
  <c r="R14" i="1" s="1"/>
  <c r="G14" i="1"/>
  <c r="M14" i="1" s="1"/>
  <c r="S14" i="1" s="1"/>
  <c r="F15" i="1"/>
  <c r="L15" i="1" s="1"/>
  <c r="R15" i="1" s="1"/>
  <c r="G15" i="1"/>
  <c r="M15" i="1" s="1"/>
  <c r="S15" i="1" s="1"/>
  <c r="F16" i="1"/>
  <c r="L16" i="1" s="1"/>
  <c r="R16" i="1" s="1"/>
  <c r="G16" i="1"/>
  <c r="M16" i="1" s="1"/>
  <c r="S16" i="1" s="1"/>
  <c r="F17" i="1"/>
  <c r="L17" i="1" s="1"/>
  <c r="R17" i="1" s="1"/>
  <c r="G17" i="1"/>
  <c r="M17" i="1" s="1"/>
  <c r="S17" i="1" s="1"/>
  <c r="F18" i="1"/>
  <c r="L18" i="1" s="1"/>
  <c r="R18" i="1" s="1"/>
  <c r="G18" i="1"/>
  <c r="M18" i="1" s="1"/>
  <c r="S18" i="1" s="1"/>
  <c r="F19" i="1"/>
  <c r="L19" i="1" s="1"/>
  <c r="R19" i="1" s="1"/>
  <c r="G19" i="1"/>
  <c r="M19" i="1" s="1"/>
  <c r="S19" i="1" s="1"/>
  <c r="F20" i="1"/>
  <c r="L20" i="1" s="1"/>
  <c r="R20" i="1" s="1"/>
  <c r="G20" i="1"/>
  <c r="M20" i="1" s="1"/>
  <c r="S20" i="1" s="1"/>
  <c r="F21" i="1"/>
  <c r="L21" i="1" s="1"/>
  <c r="R21" i="1" s="1"/>
  <c r="G21" i="1"/>
  <c r="M21" i="1" s="1"/>
  <c r="S21" i="1" s="1"/>
  <c r="F22" i="1"/>
  <c r="L22" i="1" s="1"/>
  <c r="R22" i="1" s="1"/>
  <c r="G22" i="1"/>
  <c r="M22" i="1" s="1"/>
  <c r="S22" i="1" s="1"/>
  <c r="F23" i="1"/>
  <c r="L23" i="1" s="1"/>
  <c r="R23" i="1" s="1"/>
  <c r="G23" i="1"/>
  <c r="M23" i="1" s="1"/>
  <c r="S23" i="1" s="1"/>
  <c r="F24" i="1"/>
  <c r="L24" i="1" s="1"/>
  <c r="G24" i="1"/>
  <c r="M24" i="1" s="1"/>
  <c r="S24" i="1" s="1"/>
  <c r="F25" i="1"/>
  <c r="L25" i="1" s="1"/>
  <c r="R25" i="1" s="1"/>
  <c r="G25" i="1"/>
  <c r="M25" i="1" s="1"/>
  <c r="S25" i="1" s="1"/>
  <c r="F26" i="1"/>
  <c r="L26" i="1" s="1"/>
  <c r="G26" i="1"/>
  <c r="M26" i="1" s="1"/>
  <c r="S26" i="1" s="1"/>
  <c r="F27" i="1"/>
  <c r="L27" i="1" s="1"/>
  <c r="R27" i="1" s="1"/>
  <c r="G27" i="1"/>
  <c r="M27" i="1" s="1"/>
  <c r="S27" i="1" s="1"/>
  <c r="F28" i="1"/>
  <c r="L28" i="1" s="1"/>
  <c r="R28" i="1" s="1"/>
  <c r="G28" i="1"/>
  <c r="M28" i="1" s="1"/>
  <c r="S28" i="1" s="1"/>
  <c r="F29" i="1"/>
  <c r="L29" i="1" s="1"/>
  <c r="R29" i="1" s="1"/>
  <c r="G29" i="1"/>
  <c r="M29" i="1" s="1"/>
  <c r="S29" i="1" s="1"/>
  <c r="F30" i="1"/>
  <c r="L30" i="1" s="1"/>
  <c r="R30" i="1" s="1"/>
  <c r="G30" i="1"/>
  <c r="M30" i="1" s="1"/>
  <c r="F31" i="1"/>
  <c r="L31" i="1" s="1"/>
  <c r="R31" i="1" s="1"/>
  <c r="G31" i="1"/>
  <c r="M31" i="1" s="1"/>
  <c r="S31" i="1" s="1"/>
  <c r="F32" i="1"/>
  <c r="L32" i="1" s="1"/>
  <c r="R32" i="1" s="1"/>
  <c r="G32" i="1"/>
  <c r="M32" i="1" s="1"/>
  <c r="S32" i="1" s="1"/>
  <c r="F33" i="1"/>
  <c r="L33" i="1" s="1"/>
  <c r="R33" i="1" s="1"/>
  <c r="G33" i="1"/>
  <c r="M33" i="1" s="1"/>
  <c r="S33" i="1" s="1"/>
  <c r="F34" i="1"/>
  <c r="L34" i="1" s="1"/>
  <c r="R34" i="1" s="1"/>
  <c r="G34" i="1"/>
  <c r="M34" i="1" s="1"/>
  <c r="S34" i="1" s="1"/>
  <c r="F35" i="1"/>
  <c r="L35" i="1" s="1"/>
  <c r="R35" i="1" s="1"/>
  <c r="G35" i="1"/>
  <c r="M35" i="1" s="1"/>
  <c r="S35" i="1" s="1"/>
  <c r="F36" i="1"/>
  <c r="L36" i="1" s="1"/>
  <c r="R36" i="1" s="1"/>
  <c r="G36" i="1"/>
  <c r="M36" i="1" s="1"/>
  <c r="S36" i="1" s="1"/>
  <c r="F37" i="1"/>
  <c r="L37" i="1" s="1"/>
  <c r="G37" i="1"/>
  <c r="M37" i="1" s="1"/>
  <c r="S37" i="1" s="1"/>
  <c r="F38" i="1"/>
  <c r="L38" i="1" s="1"/>
  <c r="R38" i="1" s="1"/>
  <c r="G38" i="1"/>
  <c r="M38" i="1" s="1"/>
  <c r="S38" i="1" s="1"/>
  <c r="F39" i="1"/>
  <c r="L39" i="1" s="1"/>
  <c r="R39" i="1" s="1"/>
  <c r="G39" i="1"/>
  <c r="M39" i="1" s="1"/>
  <c r="S39" i="1" s="1"/>
  <c r="F40" i="1"/>
  <c r="L40" i="1" s="1"/>
  <c r="R40" i="1" s="1"/>
  <c r="G40" i="1"/>
  <c r="M40" i="1" s="1"/>
  <c r="S40" i="1" s="1"/>
  <c r="F41" i="1"/>
  <c r="L41" i="1" s="1"/>
  <c r="R41" i="1" s="1"/>
  <c r="G41" i="1"/>
  <c r="M41" i="1" s="1"/>
  <c r="S41" i="1" s="1"/>
  <c r="F42" i="1"/>
  <c r="L42" i="1" s="1"/>
  <c r="R42" i="1" s="1"/>
  <c r="G42" i="1"/>
  <c r="M42" i="1" s="1"/>
  <c r="S42" i="1" s="1"/>
  <c r="F43" i="1"/>
  <c r="L43" i="1" s="1"/>
  <c r="R43" i="1" s="1"/>
  <c r="G43" i="1"/>
  <c r="M43" i="1" s="1"/>
  <c r="S43" i="1" s="1"/>
  <c r="F44" i="1"/>
  <c r="L44" i="1" s="1"/>
  <c r="R44" i="1" s="1"/>
  <c r="G44" i="1"/>
  <c r="M44" i="1" s="1"/>
  <c r="S44" i="1" s="1"/>
  <c r="F45" i="1"/>
  <c r="L45" i="1" s="1"/>
  <c r="R45" i="1" s="1"/>
  <c r="G45" i="1"/>
  <c r="M45" i="1" s="1"/>
  <c r="S45" i="1" s="1"/>
  <c r="F46" i="1"/>
  <c r="L46" i="1" s="1"/>
  <c r="R46" i="1" s="1"/>
  <c r="G46" i="1"/>
  <c r="M46" i="1" s="1"/>
  <c r="S46" i="1" s="1"/>
  <c r="F47" i="1"/>
  <c r="L47" i="1" s="1"/>
  <c r="R47" i="1" s="1"/>
  <c r="G47" i="1"/>
  <c r="M47" i="1" s="1"/>
  <c r="S47" i="1" s="1"/>
  <c r="F48" i="1"/>
  <c r="L48" i="1" s="1"/>
  <c r="R48" i="1" s="1"/>
  <c r="G48" i="1"/>
  <c r="M48" i="1" s="1"/>
  <c r="F49" i="1"/>
  <c r="L49" i="1" s="1"/>
  <c r="R49" i="1" s="1"/>
  <c r="G49" i="1"/>
  <c r="M49" i="1" s="1"/>
  <c r="S49" i="1" s="1"/>
  <c r="F50" i="1"/>
  <c r="L50" i="1" s="1"/>
  <c r="R50" i="1" s="1"/>
  <c r="G50" i="1"/>
  <c r="M50" i="1" s="1"/>
  <c r="S50" i="1" s="1"/>
  <c r="F51" i="1"/>
  <c r="L51" i="1" s="1"/>
  <c r="R51" i="1" s="1"/>
  <c r="G51" i="1"/>
  <c r="M51" i="1" s="1"/>
  <c r="S51" i="1" s="1"/>
  <c r="F52" i="1"/>
  <c r="L52" i="1" s="1"/>
  <c r="R52" i="1" s="1"/>
  <c r="G52" i="1"/>
  <c r="M52" i="1" s="1"/>
  <c r="S52" i="1" s="1"/>
  <c r="F53" i="1"/>
  <c r="L53" i="1" s="1"/>
  <c r="R53" i="1" s="1"/>
  <c r="G53" i="1"/>
  <c r="M53" i="1" s="1"/>
  <c r="S53" i="1" s="1"/>
  <c r="F54" i="1"/>
  <c r="L54" i="1" s="1"/>
  <c r="R54" i="1" s="1"/>
  <c r="G54" i="1"/>
  <c r="M54" i="1" s="1"/>
  <c r="S54" i="1" s="1"/>
  <c r="F55" i="1"/>
  <c r="L55" i="1" s="1"/>
  <c r="G55" i="1"/>
  <c r="M55" i="1" s="1"/>
  <c r="S55" i="1" s="1"/>
  <c r="F56" i="1"/>
  <c r="L56" i="1" s="1"/>
  <c r="R56" i="1" s="1"/>
  <c r="G56" i="1"/>
  <c r="M56" i="1" s="1"/>
  <c r="S56" i="1" s="1"/>
  <c r="F57" i="1"/>
  <c r="L57" i="1" s="1"/>
  <c r="R57" i="1" s="1"/>
  <c r="G57" i="1"/>
  <c r="M57" i="1" s="1"/>
  <c r="S57" i="1" s="1"/>
  <c r="F58" i="1"/>
  <c r="L58" i="1" s="1"/>
  <c r="R58" i="1" s="1"/>
  <c r="G58" i="1"/>
  <c r="M58" i="1" s="1"/>
  <c r="S58" i="1" s="1"/>
  <c r="F59" i="1"/>
  <c r="L59" i="1" s="1"/>
  <c r="R59" i="1" s="1"/>
  <c r="G59" i="1"/>
  <c r="M59" i="1" s="1"/>
  <c r="S59" i="1" s="1"/>
  <c r="F60" i="1"/>
  <c r="L60" i="1" s="1"/>
  <c r="R60" i="1" s="1"/>
  <c r="G60" i="1"/>
  <c r="M60" i="1" s="1"/>
  <c r="S60" i="1" s="1"/>
  <c r="F61" i="1"/>
  <c r="L61" i="1" s="1"/>
  <c r="R61" i="1" s="1"/>
  <c r="G61" i="1"/>
  <c r="M61" i="1" s="1"/>
  <c r="S61" i="1" s="1"/>
  <c r="F62" i="1"/>
  <c r="L62" i="1" s="1"/>
  <c r="R62" i="1" s="1"/>
  <c r="G62" i="1"/>
  <c r="M62" i="1" s="1"/>
  <c r="S62" i="1" s="1"/>
  <c r="F63" i="1"/>
  <c r="L63" i="1" s="1"/>
  <c r="R63" i="1" s="1"/>
  <c r="G63" i="1"/>
  <c r="M63" i="1" s="1"/>
  <c r="S63" i="1" s="1"/>
  <c r="F64" i="1"/>
  <c r="L64" i="1" s="1"/>
  <c r="R64" i="1" s="1"/>
  <c r="G64" i="1"/>
  <c r="M64" i="1" s="1"/>
  <c r="S64" i="1" s="1"/>
  <c r="F65" i="1"/>
  <c r="L65" i="1" s="1"/>
  <c r="R65" i="1" s="1"/>
  <c r="G65" i="1"/>
  <c r="M65" i="1" s="1"/>
  <c r="S65" i="1" s="1"/>
  <c r="F66" i="1"/>
  <c r="L66" i="1" s="1"/>
  <c r="R66" i="1" s="1"/>
  <c r="G66" i="1"/>
  <c r="M66" i="1" s="1"/>
  <c r="S66" i="1" s="1"/>
  <c r="F67" i="1"/>
  <c r="L67" i="1" s="1"/>
  <c r="R67" i="1" s="1"/>
  <c r="G67" i="1"/>
  <c r="M67" i="1" s="1"/>
  <c r="S67" i="1" s="1"/>
  <c r="F68" i="1"/>
  <c r="L68" i="1" s="1"/>
  <c r="R68" i="1" s="1"/>
  <c r="G68" i="1"/>
  <c r="M68" i="1" s="1"/>
  <c r="S68" i="1" s="1"/>
  <c r="F69" i="1"/>
  <c r="L69" i="1" s="1"/>
  <c r="R69" i="1" s="1"/>
  <c r="G69" i="1"/>
  <c r="M69" i="1" s="1"/>
  <c r="S69" i="1" s="1"/>
  <c r="F70" i="1"/>
  <c r="L70" i="1" s="1"/>
  <c r="R70" i="1" s="1"/>
  <c r="G70" i="1"/>
  <c r="M70" i="1" s="1"/>
  <c r="S70" i="1" s="1"/>
  <c r="F71" i="1"/>
  <c r="L71" i="1" s="1"/>
  <c r="R71" i="1" s="1"/>
  <c r="G71" i="1"/>
  <c r="M71" i="1" s="1"/>
  <c r="S71" i="1" s="1"/>
  <c r="F72" i="1"/>
  <c r="L72" i="1" s="1"/>
  <c r="R72" i="1" s="1"/>
  <c r="G72" i="1"/>
  <c r="M72" i="1" s="1"/>
  <c r="S72" i="1" s="1"/>
  <c r="F73" i="1"/>
  <c r="L73" i="1" s="1"/>
  <c r="G73" i="1"/>
  <c r="M73" i="1" s="1"/>
  <c r="S73" i="1" s="1"/>
  <c r="F74" i="1"/>
  <c r="L74" i="1" s="1"/>
  <c r="R74" i="1" s="1"/>
  <c r="G74" i="1"/>
  <c r="M74" i="1" s="1"/>
  <c r="S74" i="1" s="1"/>
  <c r="F75" i="1"/>
  <c r="L75" i="1" s="1"/>
  <c r="R75" i="1" s="1"/>
  <c r="G75" i="1"/>
  <c r="M75" i="1" s="1"/>
  <c r="S75" i="1" s="1"/>
  <c r="F76" i="1"/>
  <c r="L76" i="1" s="1"/>
  <c r="R76" i="1" s="1"/>
  <c r="G76" i="1"/>
  <c r="M76" i="1" s="1"/>
  <c r="S76" i="1" s="1"/>
  <c r="F77" i="1"/>
  <c r="L77" i="1" s="1"/>
  <c r="R77" i="1" s="1"/>
  <c r="G77" i="1"/>
  <c r="M77" i="1" s="1"/>
  <c r="S77" i="1" s="1"/>
  <c r="F78" i="1"/>
  <c r="L78" i="1" s="1"/>
  <c r="R78" i="1" s="1"/>
  <c r="G78" i="1"/>
  <c r="M78" i="1" s="1"/>
  <c r="S78" i="1" s="1"/>
  <c r="F79" i="1"/>
  <c r="L79" i="1" s="1"/>
  <c r="R79" i="1" s="1"/>
  <c r="G79" i="1"/>
  <c r="M79" i="1" s="1"/>
  <c r="S79" i="1" s="1"/>
  <c r="F80" i="1"/>
  <c r="L80" i="1" s="1"/>
  <c r="R80" i="1" s="1"/>
  <c r="G80" i="1"/>
  <c r="M80" i="1" s="1"/>
  <c r="S80" i="1" s="1"/>
  <c r="F81" i="1"/>
  <c r="L81" i="1" s="1"/>
  <c r="R81" i="1" s="1"/>
  <c r="G81" i="1"/>
  <c r="M81" i="1" s="1"/>
  <c r="S81" i="1" s="1"/>
  <c r="F82" i="1"/>
  <c r="L82" i="1" s="1"/>
  <c r="R82" i="1" s="1"/>
  <c r="G82" i="1"/>
  <c r="M82" i="1" s="1"/>
  <c r="S82" i="1" s="1"/>
  <c r="F83" i="1"/>
  <c r="L83" i="1" s="1"/>
  <c r="R83" i="1" s="1"/>
  <c r="G83" i="1"/>
  <c r="M83" i="1" s="1"/>
  <c r="S83" i="1" s="1"/>
  <c r="F84" i="1"/>
  <c r="L84" i="1" s="1"/>
  <c r="R84" i="1" s="1"/>
  <c r="G84" i="1"/>
  <c r="M84" i="1" s="1"/>
  <c r="S84" i="1" s="1"/>
  <c r="F85" i="1"/>
  <c r="L85" i="1" s="1"/>
  <c r="R85" i="1" s="1"/>
  <c r="G85" i="1"/>
  <c r="M85" i="1" s="1"/>
  <c r="S85" i="1" s="1"/>
  <c r="F86" i="1"/>
  <c r="L86" i="1" s="1"/>
  <c r="R86" i="1" s="1"/>
  <c r="G86" i="1"/>
  <c r="M86" i="1" s="1"/>
  <c r="F87" i="1"/>
  <c r="L87" i="1" s="1"/>
  <c r="R87" i="1" s="1"/>
  <c r="G87" i="1"/>
  <c r="M87" i="1" s="1"/>
  <c r="S87" i="1" s="1"/>
  <c r="F88" i="1"/>
  <c r="L88" i="1" s="1"/>
  <c r="R88" i="1" s="1"/>
  <c r="G88" i="1"/>
  <c r="M88" i="1" s="1"/>
  <c r="S88" i="1" s="1"/>
  <c r="F89" i="1"/>
  <c r="L89" i="1" s="1"/>
  <c r="R89" i="1" s="1"/>
  <c r="G89" i="1"/>
  <c r="M89" i="1" s="1"/>
  <c r="S89" i="1" s="1"/>
  <c r="F90" i="1"/>
  <c r="L90" i="1" s="1"/>
  <c r="R90" i="1" s="1"/>
  <c r="G90" i="1"/>
  <c r="M90" i="1" s="1"/>
  <c r="S90" i="1" s="1"/>
  <c r="F91" i="1"/>
  <c r="L91" i="1" s="1"/>
  <c r="R91" i="1" s="1"/>
  <c r="G91" i="1"/>
  <c r="M91" i="1" s="1"/>
  <c r="S91" i="1" s="1"/>
  <c r="F92" i="1"/>
  <c r="L92" i="1" s="1"/>
  <c r="R92" i="1" s="1"/>
  <c r="G92" i="1"/>
  <c r="M92" i="1" s="1"/>
  <c r="S92" i="1" s="1"/>
  <c r="F93" i="1"/>
  <c r="L93" i="1" s="1"/>
  <c r="R93" i="1" s="1"/>
  <c r="G93" i="1"/>
  <c r="M93" i="1" s="1"/>
  <c r="S93" i="1" s="1"/>
  <c r="F94" i="1"/>
  <c r="L94" i="1" s="1"/>
  <c r="R94" i="1" s="1"/>
  <c r="G94" i="1"/>
  <c r="M94" i="1" s="1"/>
  <c r="S94" i="1" s="1"/>
  <c r="F95" i="1"/>
  <c r="L95" i="1" s="1"/>
  <c r="R95" i="1" s="1"/>
  <c r="G95" i="1"/>
  <c r="M95" i="1" s="1"/>
  <c r="S95" i="1" s="1"/>
  <c r="F96" i="1"/>
  <c r="L96" i="1" s="1"/>
  <c r="R96" i="1" s="1"/>
  <c r="G96" i="1"/>
  <c r="M96" i="1" s="1"/>
  <c r="S96" i="1" s="1"/>
  <c r="F97" i="1"/>
  <c r="L97" i="1" s="1"/>
  <c r="R97" i="1" s="1"/>
  <c r="G97" i="1"/>
  <c r="M97" i="1" s="1"/>
  <c r="S97" i="1" s="1"/>
  <c r="F98" i="1"/>
  <c r="L98" i="1" s="1"/>
  <c r="R98" i="1" s="1"/>
  <c r="G98" i="1"/>
  <c r="M98" i="1" s="1"/>
  <c r="S98" i="1" s="1"/>
  <c r="F99" i="1"/>
  <c r="L99" i="1" s="1"/>
  <c r="R99" i="1" s="1"/>
  <c r="G99" i="1"/>
  <c r="M99" i="1" s="1"/>
  <c r="S99" i="1" s="1"/>
  <c r="F100" i="1"/>
  <c r="L100" i="1" s="1"/>
  <c r="R100" i="1" s="1"/>
  <c r="G100" i="1"/>
  <c r="M100" i="1" s="1"/>
  <c r="S100" i="1" s="1"/>
  <c r="F101" i="1"/>
  <c r="L101" i="1" s="1"/>
  <c r="R101" i="1" s="1"/>
  <c r="G101" i="1"/>
  <c r="M101" i="1" s="1"/>
  <c r="S101" i="1" s="1"/>
  <c r="F102" i="1"/>
  <c r="L102" i="1" s="1"/>
  <c r="G102" i="1"/>
  <c r="M102" i="1" s="1"/>
  <c r="S102" i="1" s="1"/>
  <c r="F103" i="1"/>
  <c r="L103" i="1" s="1"/>
  <c r="R103" i="1" s="1"/>
  <c r="G103" i="1"/>
  <c r="M103" i="1" s="1"/>
  <c r="S103" i="1" s="1"/>
  <c r="F104" i="1"/>
  <c r="L104" i="1" s="1"/>
  <c r="R104" i="1" s="1"/>
  <c r="G104" i="1"/>
  <c r="M104" i="1" s="1"/>
  <c r="S104" i="1" s="1"/>
  <c r="F105" i="1"/>
  <c r="L105" i="1" s="1"/>
  <c r="R105" i="1" s="1"/>
  <c r="G105" i="1"/>
  <c r="M105" i="1" s="1"/>
  <c r="S105" i="1" s="1"/>
  <c r="F106" i="1"/>
  <c r="L106" i="1" s="1"/>
  <c r="G106" i="1"/>
  <c r="M106" i="1" s="1"/>
  <c r="S106" i="1" s="1"/>
  <c r="F107" i="1"/>
  <c r="L107" i="1" s="1"/>
  <c r="R107" i="1" s="1"/>
  <c r="G107" i="1"/>
  <c r="M107" i="1" s="1"/>
  <c r="S107" i="1" s="1"/>
  <c r="F108" i="1"/>
  <c r="L108" i="1" s="1"/>
  <c r="G108" i="1"/>
  <c r="M108" i="1" s="1"/>
  <c r="F109" i="1"/>
  <c r="L109" i="1" s="1"/>
  <c r="R109" i="1" s="1"/>
  <c r="G109" i="1"/>
  <c r="M109" i="1" s="1"/>
  <c r="S109" i="1" s="1"/>
  <c r="F110" i="1"/>
  <c r="L110" i="1" s="1"/>
  <c r="R110" i="1" s="1"/>
  <c r="G110" i="1"/>
  <c r="M110" i="1" s="1"/>
  <c r="S110" i="1" s="1"/>
  <c r="F111" i="1"/>
  <c r="L111" i="1" s="1"/>
  <c r="R111" i="1" s="1"/>
  <c r="G111" i="1"/>
  <c r="M111" i="1" s="1"/>
  <c r="S111" i="1" s="1"/>
  <c r="F112" i="1"/>
  <c r="L112" i="1" s="1"/>
  <c r="R112" i="1" s="1"/>
  <c r="G112" i="1"/>
  <c r="M112" i="1" s="1"/>
  <c r="S112" i="1" s="1"/>
  <c r="F113" i="1"/>
  <c r="L113" i="1" s="1"/>
  <c r="R113" i="1" s="1"/>
  <c r="G113" i="1"/>
  <c r="M113" i="1" s="1"/>
  <c r="S113" i="1" s="1"/>
  <c r="F114" i="1"/>
  <c r="L114" i="1" s="1"/>
  <c r="R114" i="1" s="1"/>
  <c r="G114" i="1"/>
  <c r="M114" i="1" s="1"/>
  <c r="S114" i="1" s="1"/>
  <c r="F115" i="1"/>
  <c r="L115" i="1" s="1"/>
  <c r="R115" i="1" s="1"/>
  <c r="G115" i="1"/>
  <c r="M115" i="1" s="1"/>
  <c r="S115" i="1" s="1"/>
  <c r="F116" i="1"/>
  <c r="L116" i="1" s="1"/>
  <c r="R116" i="1" s="1"/>
  <c r="G116" i="1"/>
  <c r="M116" i="1" s="1"/>
  <c r="S116" i="1" s="1"/>
  <c r="F117" i="1"/>
  <c r="L117" i="1" s="1"/>
  <c r="R117" i="1" s="1"/>
  <c r="G117" i="1"/>
  <c r="M117" i="1" s="1"/>
  <c r="S117" i="1" s="1"/>
  <c r="F118" i="1"/>
  <c r="L118" i="1" s="1"/>
  <c r="R118" i="1" s="1"/>
  <c r="G118" i="1"/>
  <c r="M118" i="1" s="1"/>
  <c r="S118" i="1" s="1"/>
  <c r="F119" i="1"/>
  <c r="L119" i="1" s="1"/>
  <c r="R119" i="1" s="1"/>
  <c r="G119" i="1"/>
  <c r="M119" i="1" s="1"/>
  <c r="S119" i="1" s="1"/>
  <c r="F120" i="1"/>
  <c r="L120" i="1" s="1"/>
  <c r="R120" i="1" s="1"/>
  <c r="G120" i="1"/>
  <c r="M120" i="1" s="1"/>
  <c r="S120" i="1" s="1"/>
  <c r="F121" i="1"/>
  <c r="L121" i="1" s="1"/>
  <c r="R121" i="1" s="1"/>
  <c r="G121" i="1"/>
  <c r="M121" i="1" s="1"/>
  <c r="S121" i="1" s="1"/>
  <c r="F122" i="1"/>
  <c r="L122" i="1" s="1"/>
  <c r="G122" i="1"/>
  <c r="M122" i="1" s="1"/>
  <c r="S122" i="1" s="1"/>
  <c r="F123" i="1"/>
  <c r="L123" i="1" s="1"/>
  <c r="R123" i="1" s="1"/>
  <c r="G123" i="1"/>
  <c r="M123" i="1" s="1"/>
  <c r="S123" i="1" s="1"/>
  <c r="F124" i="1"/>
  <c r="L124" i="1" s="1"/>
  <c r="G124" i="1"/>
  <c r="M124" i="1" s="1"/>
  <c r="F125" i="1"/>
  <c r="L125" i="1" s="1"/>
  <c r="R125" i="1" s="1"/>
  <c r="G125" i="1"/>
  <c r="M125" i="1" s="1"/>
  <c r="S125" i="1" s="1"/>
  <c r="F126" i="1"/>
  <c r="L126" i="1" s="1"/>
  <c r="R126" i="1" s="1"/>
  <c r="G126" i="1"/>
  <c r="M126" i="1" s="1"/>
  <c r="S126" i="1" s="1"/>
  <c r="F127" i="1"/>
  <c r="L127" i="1" s="1"/>
  <c r="R127" i="1" s="1"/>
  <c r="G127" i="1"/>
  <c r="M127" i="1" s="1"/>
  <c r="S127" i="1" s="1"/>
  <c r="F128" i="1"/>
  <c r="L128" i="1" s="1"/>
  <c r="G128" i="1"/>
  <c r="M128" i="1" s="1"/>
  <c r="S128" i="1" s="1"/>
  <c r="F129" i="1"/>
  <c r="L129" i="1" s="1"/>
  <c r="R129" i="1" s="1"/>
  <c r="G129" i="1"/>
  <c r="M129" i="1" s="1"/>
  <c r="S129" i="1" s="1"/>
  <c r="F130" i="1"/>
  <c r="L130" i="1" s="1"/>
  <c r="R130" i="1" s="1"/>
  <c r="G130" i="1"/>
  <c r="M130" i="1" s="1"/>
  <c r="S130" i="1" s="1"/>
  <c r="F131" i="1"/>
  <c r="L131" i="1" s="1"/>
  <c r="R131" i="1" s="1"/>
  <c r="G131" i="1"/>
  <c r="M131" i="1" s="1"/>
  <c r="S131" i="1" s="1"/>
  <c r="F132" i="1"/>
  <c r="L132" i="1" s="1"/>
  <c r="R132" i="1" s="1"/>
  <c r="G132" i="1"/>
  <c r="M132" i="1" s="1"/>
  <c r="S132" i="1" s="1"/>
  <c r="F133" i="1"/>
  <c r="L133" i="1" s="1"/>
  <c r="R133" i="1" s="1"/>
  <c r="G133" i="1"/>
  <c r="M133" i="1" s="1"/>
  <c r="S133" i="1" s="1"/>
  <c r="F134" i="1"/>
  <c r="L134" i="1" s="1"/>
  <c r="R134" i="1" s="1"/>
  <c r="G134" i="1"/>
  <c r="M134" i="1" s="1"/>
  <c r="F135" i="1"/>
  <c r="L135" i="1" s="1"/>
  <c r="R135" i="1" s="1"/>
  <c r="G135" i="1"/>
  <c r="M135" i="1" s="1"/>
  <c r="S135" i="1" s="1"/>
  <c r="F136" i="1"/>
  <c r="L136" i="1" s="1"/>
  <c r="R136" i="1" s="1"/>
  <c r="G136" i="1"/>
  <c r="M136" i="1" s="1"/>
  <c r="S136" i="1" s="1"/>
  <c r="F137" i="1"/>
  <c r="L137" i="1" s="1"/>
  <c r="R137" i="1" s="1"/>
  <c r="G137" i="1"/>
  <c r="M137" i="1" s="1"/>
  <c r="S137" i="1" s="1"/>
  <c r="F138" i="1"/>
  <c r="L138" i="1" s="1"/>
  <c r="G138" i="1"/>
  <c r="M138" i="1" s="1"/>
  <c r="S138" i="1" s="1"/>
  <c r="F139" i="1"/>
  <c r="L139" i="1" s="1"/>
  <c r="R139" i="1" s="1"/>
  <c r="G139" i="1"/>
  <c r="M139" i="1" s="1"/>
  <c r="S139" i="1" s="1"/>
  <c r="F140" i="1"/>
  <c r="L140" i="1" s="1"/>
  <c r="R140" i="1" s="1"/>
  <c r="G140" i="1"/>
  <c r="M140" i="1" s="1"/>
  <c r="F141" i="1"/>
  <c r="L141" i="1" s="1"/>
  <c r="G141" i="1"/>
  <c r="M141" i="1" s="1"/>
  <c r="S141" i="1" s="1"/>
  <c r="F142" i="1"/>
  <c r="L142" i="1" s="1"/>
  <c r="R142" i="1" s="1"/>
  <c r="G142" i="1"/>
  <c r="M142" i="1" s="1"/>
  <c r="S142" i="1" s="1"/>
  <c r="F143" i="1"/>
  <c r="L143" i="1" s="1"/>
  <c r="R143" i="1" s="1"/>
  <c r="G143" i="1"/>
  <c r="M143" i="1" s="1"/>
  <c r="S143" i="1" s="1"/>
  <c r="F144" i="1"/>
  <c r="L144" i="1" s="1"/>
  <c r="R144" i="1" s="1"/>
  <c r="G144" i="1"/>
  <c r="M144" i="1" s="1"/>
  <c r="S144" i="1" s="1"/>
  <c r="F145" i="1"/>
  <c r="L145" i="1" s="1"/>
  <c r="R145" i="1" s="1"/>
  <c r="G145" i="1"/>
  <c r="M145" i="1" s="1"/>
  <c r="S145" i="1" s="1"/>
  <c r="F146" i="1"/>
  <c r="L146" i="1" s="1"/>
  <c r="R146" i="1" s="1"/>
  <c r="G146" i="1"/>
  <c r="M146" i="1" s="1"/>
  <c r="S146" i="1" s="1"/>
  <c r="F147" i="1"/>
  <c r="L147" i="1" s="1"/>
  <c r="R147" i="1" s="1"/>
  <c r="G147" i="1"/>
  <c r="M147" i="1" s="1"/>
  <c r="S147" i="1" s="1"/>
  <c r="F148" i="1"/>
  <c r="L148" i="1" s="1"/>
  <c r="R148" i="1" s="1"/>
  <c r="G148" i="1"/>
  <c r="M148" i="1" s="1"/>
  <c r="S148" i="1" s="1"/>
  <c r="F149" i="1"/>
  <c r="L149" i="1" s="1"/>
  <c r="R149" i="1" s="1"/>
  <c r="G149" i="1"/>
  <c r="M149" i="1" s="1"/>
  <c r="S149" i="1" s="1"/>
  <c r="F150" i="1"/>
  <c r="L150" i="1" s="1"/>
  <c r="R150" i="1" s="1"/>
  <c r="G150" i="1"/>
  <c r="M150" i="1" s="1"/>
  <c r="S150" i="1" s="1"/>
  <c r="F151" i="1"/>
  <c r="L151" i="1" s="1"/>
  <c r="R151" i="1" s="1"/>
  <c r="G151" i="1"/>
  <c r="M151" i="1" s="1"/>
  <c r="S151" i="1" s="1"/>
  <c r="F152" i="1"/>
  <c r="L152" i="1" s="1"/>
  <c r="R152" i="1" s="1"/>
  <c r="G152" i="1"/>
  <c r="M152" i="1" s="1"/>
  <c r="S152" i="1" s="1"/>
  <c r="F153" i="1"/>
  <c r="L153" i="1" s="1"/>
  <c r="R153" i="1" s="1"/>
  <c r="G153" i="1"/>
  <c r="M153" i="1" s="1"/>
  <c r="S153" i="1" s="1"/>
  <c r="F154" i="1"/>
  <c r="L154" i="1" s="1"/>
  <c r="G154" i="1"/>
  <c r="M154" i="1" s="1"/>
  <c r="S154" i="1" s="1"/>
  <c r="F155" i="1"/>
  <c r="L155" i="1" s="1"/>
  <c r="R155" i="1" s="1"/>
  <c r="G155" i="1"/>
  <c r="M155" i="1" s="1"/>
  <c r="S155" i="1" s="1"/>
  <c r="F156" i="1"/>
  <c r="L156" i="1" s="1"/>
  <c r="R156" i="1" s="1"/>
  <c r="G156" i="1"/>
  <c r="M156" i="1" s="1"/>
  <c r="F157" i="1"/>
  <c r="L157" i="1" s="1"/>
  <c r="G157" i="1"/>
  <c r="M157" i="1" s="1"/>
  <c r="S157" i="1" s="1"/>
  <c r="G2" i="1"/>
  <c r="M2" i="1" s="1"/>
  <c r="S2" i="1" s="1"/>
  <c r="F2" i="1"/>
  <c r="L2" i="1" s="1"/>
  <c r="R2" i="1" s="1"/>
  <c r="U28" i="1" l="1"/>
  <c r="U152" i="1"/>
  <c r="U83" i="1"/>
  <c r="U147" i="1"/>
  <c r="U132" i="1"/>
  <c r="U103" i="1"/>
  <c r="U101" i="1"/>
  <c r="U72" i="1"/>
  <c r="U47" i="1"/>
  <c r="U85" i="1"/>
  <c r="U67" i="1"/>
  <c r="U117" i="1"/>
  <c r="U26" i="1"/>
  <c r="U17" i="1"/>
  <c r="U149" i="1"/>
  <c r="U44" i="1"/>
  <c r="U31" i="1"/>
  <c r="U27" i="1"/>
  <c r="U3" i="1"/>
  <c r="U66" i="1"/>
  <c r="U131" i="1"/>
  <c r="U120" i="1"/>
  <c r="U100" i="1"/>
  <c r="U71" i="1"/>
  <c r="U69" i="1"/>
  <c r="U53" i="1"/>
  <c r="U50" i="1"/>
  <c r="U115" i="1"/>
  <c r="U91" i="1"/>
  <c r="U75" i="1"/>
  <c r="U151" i="1"/>
  <c r="U148" i="1"/>
  <c r="U145" i="1"/>
  <c r="U119" i="1"/>
  <c r="U116" i="1"/>
  <c r="U113" i="1"/>
  <c r="U87" i="1"/>
  <c r="U84" i="1"/>
  <c r="U81" i="1"/>
  <c r="U15" i="1"/>
  <c r="U157" i="1"/>
  <c r="U128" i="1"/>
  <c r="U125" i="1"/>
  <c r="U96" i="1"/>
  <c r="U93" i="1"/>
  <c r="U64" i="1"/>
  <c r="U61" i="1"/>
  <c r="U55" i="1"/>
  <c r="U52" i="1"/>
  <c r="U49" i="1"/>
  <c r="U19" i="1"/>
  <c r="U5" i="1"/>
  <c r="U143" i="1"/>
  <c r="U140" i="1"/>
  <c r="U137" i="1"/>
  <c r="U111" i="1"/>
  <c r="U108" i="1"/>
  <c r="U105" i="1"/>
  <c r="U79" i="1"/>
  <c r="U76" i="1"/>
  <c r="U73" i="1"/>
  <c r="U23" i="1"/>
  <c r="U97" i="1"/>
  <c r="U65" i="1"/>
  <c r="U144" i="1"/>
  <c r="U141" i="1"/>
  <c r="U112" i="1"/>
  <c r="U109" i="1"/>
  <c r="U80" i="1"/>
  <c r="U77" i="1"/>
  <c r="U35" i="1"/>
  <c r="U129" i="1"/>
  <c r="U156" i="1"/>
  <c r="U153" i="1"/>
  <c r="U127" i="1"/>
  <c r="U124" i="1"/>
  <c r="U121" i="1"/>
  <c r="U95" i="1"/>
  <c r="U92" i="1"/>
  <c r="U89" i="1"/>
  <c r="U63" i="1"/>
  <c r="U60" i="1"/>
  <c r="U57" i="1"/>
  <c r="U51" i="1"/>
  <c r="U48" i="1"/>
  <c r="U45" i="1"/>
  <c r="U39" i="1"/>
  <c r="U7" i="1"/>
  <c r="U4" i="1"/>
</calcChain>
</file>

<file path=xl/sharedStrings.xml><?xml version="1.0" encoding="utf-8"?>
<sst xmlns="http://schemas.openxmlformats.org/spreadsheetml/2006/main" count="77" uniqueCount="44">
  <si>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</si>
  <si>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</si>
  <si>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</si>
  <si>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</si>
  <si>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</si>
  <si>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</si>
  <si>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</si>
  <si>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</si>
  <si>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</si>
  <si>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</si>
  <si>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</si>
  <si>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</si>
  <si>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</si>
  <si>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</si>
  <si>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dopt(s/veh)</t>
  </si>
  <si>
    <t>FTT(s/veh)</t>
  </si>
  <si>
    <t>TTT(s/veh)</t>
  </si>
  <si>
    <t>Nveh_total_eval</t>
  </si>
  <si>
    <t>d0_F(s/veh)</t>
  </si>
  <si>
    <t>d1_F(s/veh)</t>
  </si>
  <si>
    <t>d2_F(s/veh)</t>
  </si>
  <si>
    <t>d3_F(s/veh)</t>
  </si>
  <si>
    <t>d0_B(s/veh)</t>
  </si>
  <si>
    <t>d1_B(s/veh)</t>
  </si>
  <si>
    <t>d2_B(s/veh)</t>
  </si>
  <si>
    <t>d3_B(s/veh)</t>
  </si>
  <si>
    <t>d0opt(s/veh)</t>
    <phoneticPr fontId="2"/>
  </si>
  <si>
    <t>d1opt(s/veh)</t>
    <phoneticPr fontId="2"/>
  </si>
  <si>
    <t>d2opt(s/veh)</t>
    <phoneticPr fontId="2"/>
  </si>
  <si>
    <t>d3opt(s/veh)</t>
    <phoneticPr fontId="2"/>
  </si>
  <si>
    <t>link(0,2)</t>
    <phoneticPr fontId="2"/>
  </si>
  <si>
    <t>link(1,3)</t>
    <phoneticPr fontId="2"/>
  </si>
  <si>
    <t>Λ(0,2)</t>
    <phoneticPr fontId="2"/>
  </si>
  <si>
    <t>Λ(1,3)</t>
    <phoneticPr fontId="2"/>
  </si>
  <si>
    <t>Λ(0,3)</t>
    <phoneticPr fontId="2"/>
  </si>
  <si>
    <t>S(Λ)</t>
    <phoneticPr fontId="2"/>
  </si>
  <si>
    <t>d01</t>
    <phoneticPr fontId="2"/>
  </si>
  <si>
    <t>d12</t>
    <phoneticPr fontId="2"/>
  </si>
  <si>
    <t>d23</t>
    <phoneticPr fontId="2"/>
  </si>
  <si>
    <t>d02</t>
    <phoneticPr fontId="2"/>
  </si>
  <si>
    <t>d13</t>
    <phoneticPr fontId="2"/>
  </si>
  <si>
    <t>d03</t>
    <phoneticPr fontId="2"/>
  </si>
  <si>
    <t>S(Λclose)</t>
    <phoneticPr fontId="2"/>
  </si>
  <si>
    <t>S(Λfar)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</si>
</sst>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34"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9FDA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9FDA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9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7"/>
  <sheetViews>
    <sheetView tabSelected="1" topLeftCell="O1" workbookViewId="0">
      <selection activeCell="W1" sqref="W1"/>
    </sheetView>
  </sheetViews>
  <sheetFormatPr defaultRowHeight="13.2" x14ac:dyDescent="0.2"/>
  <cols>
    <col min="1" max="1" width="10.33203125" customWidth="1"/>
    <col min="2" max="2" width="9.77734375" customWidth="1"/>
    <col min="3" max="3" width="10.21875" customWidth="1"/>
    <col min="4" max="4" width="9.5546875" customWidth="1"/>
    <col min="5" max="5" width="10" customWidth="1"/>
    <col min="6" max="6" width="9.21875" customWidth="1"/>
    <col min="7" max="7" width="9.77734375" customWidth="1"/>
    <col min="14" max="23" width="10" customWidth="1"/>
    <col min="28" max="28" width="15.5546875" customWidth="1"/>
    <col min="29" max="30" width="15.21875" customWidth="1"/>
    <col min="31" max="31" width="14.88671875" customWidth="1"/>
    <col min="32" max="32" width="13.6640625" customWidth="1"/>
    <col min="33" max="33" width="13.5546875" customWidth="1"/>
    <col min="34" max="34" width="12.5546875" customWidth="1"/>
    <col min="35" max="35" width="18.109375" customWidth="1"/>
    <col min="36" max="39" width="13.44140625" customWidth="1"/>
    <col min="40" max="40" width="12.5546875" customWidth="1"/>
    <col min="41" max="41" width="13.44140625" customWidth="1"/>
    <col min="42" max="42" width="12.21875" customWidth="1"/>
    <col min="43" max="43" width="15.33203125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32</v>
      </c>
      <c r="M1" s="1" t="s">
        <v>33</v>
      </c>
      <c r="N1" s="1" t="s">
        <v>9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35</v>
      </c>
      <c r="V1" s="1" t="s">
        <v>42</v>
      </c>
      <c r="W1" s="1" t="s">
        <v>43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14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</row>
    <row r="2" spans="1:43" x14ac:dyDescent="0.2">
      <c r="A2">
        <v>311</v>
      </c>
      <c r="B2">
        <v>50</v>
      </c>
      <c r="C2">
        <v>416.66666666666703</v>
      </c>
      <c r="D2">
        <v>500</v>
      </c>
      <c r="E2">
        <v>416.66666666666669</v>
      </c>
      <c r="F2">
        <f t="shared" ref="F2:F33" si="0">C2+D2</f>
        <v>916.66666666666697</v>
      </c>
      <c r="G2">
        <f t="shared" ref="G2:G33" si="1">D2+E2</f>
        <v>916.66666666666674</v>
      </c>
      <c r="H2">
        <v>1333.333333333333</v>
      </c>
      <c r="I2">
        <v>0.25000000000000022</v>
      </c>
      <c r="J2">
        <v>0.3</v>
      </c>
      <c r="K2">
        <v>0.25</v>
      </c>
      <c r="L2">
        <f t="shared" ref="L2:L33" si="2">F2/(120*$B2*1000/3600)</f>
        <v>0.55000000000000016</v>
      </c>
      <c r="M2">
        <f t="shared" ref="M2:M33" si="3">G2/(120*$B2*1000/3600)</f>
        <v>0.55000000000000004</v>
      </c>
      <c r="N2">
        <v>0.80000000000000027</v>
      </c>
      <c r="O2">
        <f>_xlfn.LET(_xlpm.x,MOD(I2,1),IF(OR(AND(_xlpm.x&gt;=0.45,_xlpm.x&lt;=0.55),_xlpm.x&gt;=0.95,_xlpm.x&lt;=0.05),0,IF(_xlpm.x&lt;0.45,MIN(0.45-_xlpm.x,_xlpm.x-0.05),MIN(_xlpm.x-0.55,0.95-_xlpm.x))))</f>
        <v>0.19999999999999979</v>
      </c>
      <c r="P2">
        <f>_xlfn.LET(_xlpm.x,MOD(J2,1),IF(OR(AND(_xlpm.x&gt;=0.35,_xlpm.x&lt;=0.65),_xlpm.x&gt;=0.85,_xlpm.x&lt;=0.15),0,IF(_xlpm.x&lt;0.35,MIN(0.35-_xlpm.x,_xlpm.x-0.15),MIN(_xlpm.x-0.65,0.85-_xlpm.x))))</f>
        <v>4.9999999999999989E-2</v>
      </c>
      <c r="Q2">
        <f>_xlfn.LET(_xlpm.x,MOD(K2,1),IF(OR(AND(_xlpm.x&gt;=0.4,_xlpm.x&lt;=0.6),_xlpm.x&gt;=0.9,_xlpm.x&lt;=0.1),0,IF(_xlpm.x&lt;0.4,MIN(0.4-_xlpm.x,_xlpm.x-0.1),MIN(_xlpm.x-0.6,0.9-_xlpm.x))))</f>
        <v>0.15</v>
      </c>
      <c r="R2">
        <f>_xlfn.LET(_xlpm.x,MOD(L2,1),IF(OR(AND(_xlpm.x&gt;=0.4,_xlpm.x&lt;=0.6),_xlpm.x&gt;=0.9,_xlpm.x&lt;=0.1),0,IF(_xlpm.x&lt;0.4,MIN(0.4-_xlpm.x,_xlpm.x-0.1),MIN(_xlpm.x-0.6,0.9-_xlpm.x))))</f>
        <v>0</v>
      </c>
      <c r="S2">
        <f>_xlfn.LET(_xlpm.x,MOD(M2,1),IF(OR(AND(_xlpm.x&gt;=0.45,_xlpm.x&lt;=0.55),_xlpm.x&gt;=0.95,_xlpm.x&lt;=0.05),0,IF(_xlpm.x&lt;0.45,MIN(0.45-_xlpm.x,_xlpm.x-0.05),MIN(_xlpm.x-0.55,0.95-_xlpm.x))))</f>
        <v>0</v>
      </c>
      <c r="T2">
        <f>_xlfn.LET(_xlpm.x,MOD(N2,1),MIN(MIN(_xlpm.x,1-_xlpm.x),ABS(_xlpm.x-0.5)))</f>
        <v>0.19999999999999973</v>
      </c>
      <c r="U2">
        <f>SQRT(SUMSQ(O2,T2))</f>
        <v>0.28284271247461867</v>
      </c>
      <c r="V2">
        <f>SQRT(SUMSQ(O2:Q2))</f>
        <v>0.25495097567963909</v>
      </c>
      <c r="W2">
        <f>SQRT(SUMSQ(R2:T2))</f>
        <v>0.19999999999999973</v>
      </c>
      <c r="X2">
        <v>0</v>
      </c>
      <c r="Y2">
        <v>116.4</v>
      </c>
      <c r="Z2">
        <v>58.8</v>
      </c>
      <c r="AA2">
        <v>86.399999999999991</v>
      </c>
      <c r="AB2">
        <v>12.67199999999983</v>
      </c>
      <c r="AC2">
        <v>14.687999999999979</v>
      </c>
      <c r="AD2">
        <v>19.439999999999859</v>
      </c>
      <c r="AE2">
        <v>1.1999999999999189</v>
      </c>
      <c r="AF2">
        <v>47.999999999999453</v>
      </c>
      <c r="AG2">
        <v>96.000000000000028</v>
      </c>
      <c r="AH2">
        <v>143.99999999999949</v>
      </c>
      <c r="AI2">
        <v>180</v>
      </c>
      <c r="AJ2">
        <v>0</v>
      </c>
      <c r="AK2">
        <v>17.280000000000051</v>
      </c>
      <c r="AL2">
        <v>18.719999999999949</v>
      </c>
      <c r="AM2">
        <v>2.3999999999998378</v>
      </c>
      <c r="AN2">
        <v>25.343999999999671</v>
      </c>
      <c r="AO2">
        <v>12.095999999999909</v>
      </c>
      <c r="AP2">
        <v>20.159999999999769</v>
      </c>
      <c r="AQ2">
        <v>0</v>
      </c>
    </row>
    <row r="3" spans="1:43" x14ac:dyDescent="0.2">
      <c r="A3">
        <v>311</v>
      </c>
      <c r="B3">
        <v>47.5</v>
      </c>
      <c r="C3">
        <v>416.66666666666669</v>
      </c>
      <c r="D3">
        <v>500</v>
      </c>
      <c r="E3">
        <v>416.66666666666669</v>
      </c>
      <c r="F3">
        <f t="shared" si="0"/>
        <v>916.66666666666674</v>
      </c>
      <c r="G3">
        <f t="shared" si="1"/>
        <v>916.66666666666674</v>
      </c>
      <c r="H3">
        <v>1333.333333333333</v>
      </c>
      <c r="I3">
        <v>0.26315789473684209</v>
      </c>
      <c r="J3">
        <v>0.31578947368421062</v>
      </c>
      <c r="K3">
        <v>0.26315789473684209</v>
      </c>
      <c r="L3">
        <f t="shared" si="2"/>
        <v>0.57894736842105265</v>
      </c>
      <c r="M3">
        <f t="shared" si="3"/>
        <v>0.57894736842105265</v>
      </c>
      <c r="N3">
        <v>0.8421052631578948</v>
      </c>
      <c r="O3">
        <f t="shared" ref="O3:O66" si="4">_xlfn.LET(_xlpm.x,MOD(I3,1),IF(OR(AND(_xlpm.x&gt;=0.45,_xlpm.x&lt;=0.55),_xlpm.x&gt;=0.95,_xlpm.x&lt;=0.05),0,IF(_xlpm.x&lt;0.45,MIN(0.45-_xlpm.x,_xlpm.x-0.05),MIN(_xlpm.x-0.55,0.95-_xlpm.x))))</f>
        <v>0.18684210526315792</v>
      </c>
      <c r="P3">
        <f t="shared" ref="P3:P66" si="5">_xlfn.LET(_xlpm.x,MOD(J3,1),IF(OR(AND(_xlpm.x&gt;=0.35,_xlpm.x&lt;=0.65),_xlpm.x&gt;=0.85,_xlpm.x&lt;=0.15),0,IF(_xlpm.x&lt;0.35,MIN(0.35-_xlpm.x,_xlpm.x-0.15),MIN(_xlpm.x-0.65,0.85-_xlpm.x))))</f>
        <v>3.4210526315789358E-2</v>
      </c>
      <c r="Q3">
        <f t="shared" ref="Q3:Q66" si="6">_xlfn.LET(_xlpm.x,MOD(K3,1),IF(OR(AND(_xlpm.x&gt;=0.4,_xlpm.x&lt;=0.6),_xlpm.x&gt;=0.9,_xlpm.x&lt;=0.1),0,IF(_xlpm.x&lt;0.4,MIN(0.4-_xlpm.x,_xlpm.x-0.1),MIN(_xlpm.x-0.6,0.9-_xlpm.x))))</f>
        <v>0.13684210526315793</v>
      </c>
      <c r="R3">
        <f t="shared" ref="R3:R66" si="7">_xlfn.LET(_xlpm.x,MOD(L3,1),IF(OR(AND(_xlpm.x&gt;=0.4,_xlpm.x&lt;=0.6),_xlpm.x&gt;=0.9,_xlpm.x&lt;=0.1),0,IF(_xlpm.x&lt;0.4,MIN(0.4-_xlpm.x,_xlpm.x-0.1),MIN(_xlpm.x-0.6,0.9-_xlpm.x))))</f>
        <v>0</v>
      </c>
      <c r="S3">
        <f t="shared" ref="S3:S66" si="8">_xlfn.LET(_xlpm.x,MOD(M3,1),IF(OR(AND(_xlpm.x&gt;=0.45,_xlpm.x&lt;=0.55),_xlpm.x&gt;=0.95,_xlpm.x&lt;=0.05),0,IF(_xlpm.x&lt;0.45,MIN(0.45-_xlpm.x,_xlpm.x-0.05),MIN(_xlpm.x-0.55,0.95-_xlpm.x))))</f>
        <v>2.8947368421052611E-2</v>
      </c>
      <c r="T3">
        <f t="shared" ref="T3:T66" si="9">_xlfn.LET(_xlpm.x,MOD(N3,1),MIN(MIN(_xlpm.x,1-_xlpm.x),ABS(_xlpm.x-0.5)))</f>
        <v>0.1578947368421052</v>
      </c>
      <c r="U3">
        <f t="shared" ref="U3:U66" si="10">SQRT(SUMSQ(O3,T3))</f>
        <v>0.24462362972862339</v>
      </c>
      <c r="V3">
        <f t="shared" ref="V3:V66" si="11">SQRT(SUMSQ(O3:Q3))</f>
        <v>0.2341070143819392</v>
      </c>
      <c r="W3">
        <f t="shared" ref="W3:W66" si="12">SQRT(SUMSQ(R3:T3))</f>
        <v>0.16052631578947363</v>
      </c>
      <c r="X3">
        <v>0</v>
      </c>
      <c r="Y3">
        <v>2.4</v>
      </c>
      <c r="Z3">
        <v>56.4</v>
      </c>
      <c r="AA3">
        <v>82.8</v>
      </c>
      <c r="AB3">
        <v>16.989473684210189</v>
      </c>
      <c r="AC3">
        <v>15.71999999999999</v>
      </c>
      <c r="AD3">
        <v>13.96421052631575</v>
      </c>
      <c r="AE3">
        <v>2.589473684210478</v>
      </c>
      <c r="AF3">
        <v>49.263157894736118</v>
      </c>
      <c r="AG3">
        <v>101.0526315789474</v>
      </c>
      <c r="AH3">
        <v>150.31578947368351</v>
      </c>
      <c r="AI3">
        <v>180</v>
      </c>
      <c r="AJ3">
        <v>0</v>
      </c>
      <c r="AK3">
        <v>13.743157894736861</v>
      </c>
      <c r="AL3">
        <v>7.5410526315789159</v>
      </c>
      <c r="AM3">
        <v>5.178947368420955</v>
      </c>
      <c r="AN3">
        <v>33.978947368420393</v>
      </c>
      <c r="AO3">
        <v>17.696842105263119</v>
      </c>
      <c r="AP3">
        <v>20.387368421052571</v>
      </c>
      <c r="AQ3">
        <v>0</v>
      </c>
    </row>
    <row r="4" spans="1:43" x14ac:dyDescent="0.2">
      <c r="A4">
        <v>311</v>
      </c>
      <c r="B4">
        <v>45</v>
      </c>
      <c r="C4">
        <v>416.666666666666</v>
      </c>
      <c r="D4">
        <v>500</v>
      </c>
      <c r="E4">
        <v>416.66666666666703</v>
      </c>
      <c r="F4">
        <f t="shared" si="0"/>
        <v>916.66666666666606</v>
      </c>
      <c r="G4">
        <f t="shared" si="1"/>
        <v>916.66666666666697</v>
      </c>
      <c r="H4">
        <v>1333.3333333333301</v>
      </c>
      <c r="I4">
        <v>0.27777777777777729</v>
      </c>
      <c r="J4">
        <v>0.33333333333333331</v>
      </c>
      <c r="K4">
        <v>0.27777777777777801</v>
      </c>
      <c r="L4">
        <f t="shared" si="2"/>
        <v>0.61111111111111072</v>
      </c>
      <c r="M4">
        <f t="shared" si="3"/>
        <v>0.61111111111111127</v>
      </c>
      <c r="N4">
        <v>0.88888888888888873</v>
      </c>
      <c r="O4">
        <f t="shared" si="4"/>
        <v>0.17222222222222272</v>
      </c>
      <c r="P4">
        <f t="shared" si="5"/>
        <v>1.6666666666666663E-2</v>
      </c>
      <c r="Q4">
        <f t="shared" si="6"/>
        <v>0.12222222222222201</v>
      </c>
      <c r="R4">
        <f t="shared" si="7"/>
        <v>1.1111111111110739E-2</v>
      </c>
      <c r="S4">
        <f t="shared" si="8"/>
        <v>6.1111111111111227E-2</v>
      </c>
      <c r="T4">
        <f t="shared" si="9"/>
        <v>0.11111111111111127</v>
      </c>
      <c r="U4">
        <f t="shared" si="10"/>
        <v>0.20495407495218626</v>
      </c>
      <c r="V4">
        <f t="shared" si="11"/>
        <v>0.21184084405486273</v>
      </c>
      <c r="W4">
        <f t="shared" si="12"/>
        <v>0.12729376930432904</v>
      </c>
      <c r="X4">
        <v>0</v>
      </c>
      <c r="Y4">
        <v>115.2</v>
      </c>
      <c r="Z4">
        <v>40.799999999999997</v>
      </c>
      <c r="AA4">
        <v>37.200000000000003</v>
      </c>
      <c r="AB4">
        <v>14.26666666666663</v>
      </c>
      <c r="AC4">
        <v>16.8</v>
      </c>
      <c r="AD4">
        <v>2.9395555555555699</v>
      </c>
      <c r="AE4">
        <v>16.66044444444427</v>
      </c>
      <c r="AF4">
        <v>50.666666666666103</v>
      </c>
      <c r="AG4">
        <v>106.6666666666667</v>
      </c>
      <c r="AH4">
        <v>157.33333333333269</v>
      </c>
      <c r="AI4">
        <v>180</v>
      </c>
      <c r="AJ4">
        <v>0</v>
      </c>
      <c r="AK4">
        <v>20.906666666666649</v>
      </c>
      <c r="AL4">
        <v>2.439111111111075</v>
      </c>
      <c r="AM4">
        <v>33.32088888888854</v>
      </c>
      <c r="AN4">
        <v>28.53333333333325</v>
      </c>
      <c r="AO4">
        <v>12.693333333333349</v>
      </c>
      <c r="AP4">
        <v>3.4400000000000648</v>
      </c>
      <c r="AQ4">
        <v>0</v>
      </c>
    </row>
    <row r="5" spans="1:43" x14ac:dyDescent="0.2">
      <c r="A5">
        <v>311</v>
      </c>
      <c r="B5">
        <v>42.5</v>
      </c>
      <c r="C5">
        <v>416.666666666666</v>
      </c>
      <c r="D5">
        <v>500</v>
      </c>
      <c r="E5">
        <v>416.66666666666703</v>
      </c>
      <c r="F5">
        <f t="shared" si="0"/>
        <v>916.66666666666606</v>
      </c>
      <c r="G5">
        <f t="shared" si="1"/>
        <v>916.66666666666697</v>
      </c>
      <c r="H5">
        <v>1333.3333333333301</v>
      </c>
      <c r="I5">
        <v>0.29411764705882298</v>
      </c>
      <c r="J5">
        <v>0.3529411764705882</v>
      </c>
      <c r="K5">
        <v>0.29411764705882382</v>
      </c>
      <c r="L5">
        <f t="shared" si="2"/>
        <v>0.64705882352941135</v>
      </c>
      <c r="M5">
        <f t="shared" si="3"/>
        <v>0.64705882352941191</v>
      </c>
      <c r="N5">
        <v>0.94117647058823506</v>
      </c>
      <c r="O5">
        <f t="shared" si="4"/>
        <v>0.15588235294117703</v>
      </c>
      <c r="P5">
        <f t="shared" si="5"/>
        <v>0</v>
      </c>
      <c r="Q5">
        <f t="shared" si="6"/>
        <v>0.10588235294117621</v>
      </c>
      <c r="R5">
        <f t="shared" si="7"/>
        <v>4.7058823529411375E-2</v>
      </c>
      <c r="S5">
        <f t="shared" si="8"/>
        <v>9.7058823529411864E-2</v>
      </c>
      <c r="T5">
        <f t="shared" si="9"/>
        <v>5.8823529411764941E-2</v>
      </c>
      <c r="U5">
        <f t="shared" si="10"/>
        <v>0.1666118710384541</v>
      </c>
      <c r="V5">
        <f t="shared" si="11"/>
        <v>0.18844198211342791</v>
      </c>
      <c r="W5">
        <f t="shared" si="12"/>
        <v>0.1228623445541496</v>
      </c>
      <c r="X5">
        <v>0</v>
      </c>
      <c r="Y5">
        <v>4.8</v>
      </c>
      <c r="Z5">
        <v>61.2</v>
      </c>
      <c r="AA5">
        <v>88.8</v>
      </c>
      <c r="AB5">
        <v>19.562865051902879</v>
      </c>
      <c r="AC5">
        <v>14.284193771626249</v>
      </c>
      <c r="AD5">
        <v>14.54117647058823</v>
      </c>
      <c r="AE5">
        <v>3.847058823529288</v>
      </c>
      <c r="AF5">
        <v>52.235294117646689</v>
      </c>
      <c r="AG5">
        <v>112.9411764705882</v>
      </c>
      <c r="AH5">
        <v>165.17647058823491</v>
      </c>
      <c r="AI5">
        <v>180</v>
      </c>
      <c r="AJ5">
        <v>0</v>
      </c>
      <c r="AK5">
        <v>14.795294117646939</v>
      </c>
      <c r="AL5">
        <v>5.7458823529411651</v>
      </c>
      <c r="AM5">
        <v>7.6941176470585759</v>
      </c>
      <c r="AN5">
        <v>39.125730103805758</v>
      </c>
      <c r="AO5">
        <v>13.773093425605561</v>
      </c>
      <c r="AP5">
        <v>23.33647058823529</v>
      </c>
      <c r="AQ5">
        <v>0</v>
      </c>
    </row>
    <row r="6" spans="1:43" x14ac:dyDescent="0.2">
      <c r="A6">
        <v>311</v>
      </c>
      <c r="B6">
        <v>40</v>
      </c>
      <c r="C6">
        <v>416.666666666666</v>
      </c>
      <c r="D6">
        <v>500</v>
      </c>
      <c r="E6">
        <v>416.66666666666703</v>
      </c>
      <c r="F6">
        <f t="shared" si="0"/>
        <v>916.66666666666606</v>
      </c>
      <c r="G6">
        <f t="shared" si="1"/>
        <v>916.66666666666697</v>
      </c>
      <c r="H6">
        <v>1333.3333333333301</v>
      </c>
      <c r="I6">
        <v>0.3124999999999995</v>
      </c>
      <c r="J6">
        <v>0.375</v>
      </c>
      <c r="K6">
        <v>0.31250000000000028</v>
      </c>
      <c r="L6">
        <f t="shared" si="2"/>
        <v>0.68749999999999956</v>
      </c>
      <c r="M6">
        <f t="shared" si="3"/>
        <v>0.68750000000000022</v>
      </c>
      <c r="N6">
        <v>0.99999999999999978</v>
      </c>
      <c r="O6">
        <f t="shared" si="4"/>
        <v>0.13750000000000051</v>
      </c>
      <c r="P6">
        <f t="shared" si="5"/>
        <v>0</v>
      </c>
      <c r="Q6">
        <f t="shared" si="6"/>
        <v>8.7499999999999745E-2</v>
      </c>
      <c r="R6">
        <f t="shared" si="7"/>
        <v>8.7499999999999578E-2</v>
      </c>
      <c r="S6">
        <f t="shared" si="8"/>
        <v>0.13750000000000018</v>
      </c>
      <c r="T6">
        <f t="shared" si="9"/>
        <v>2.2204460492503131E-16</v>
      </c>
      <c r="U6">
        <f t="shared" si="10"/>
        <v>0.13750000000000051</v>
      </c>
      <c r="V6">
        <f t="shared" si="11"/>
        <v>0.16298006013006652</v>
      </c>
      <c r="W6">
        <f t="shared" si="12"/>
        <v>0.16298006013006613</v>
      </c>
      <c r="X6">
        <v>0</v>
      </c>
      <c r="Y6">
        <v>28.8</v>
      </c>
      <c r="Z6">
        <v>87.6</v>
      </c>
      <c r="AA6">
        <v>82.8</v>
      </c>
      <c r="AB6">
        <v>23.51550000000001</v>
      </c>
      <c r="AC6">
        <v>1.174499999999979</v>
      </c>
      <c r="AD6">
        <v>5.1599999999999753</v>
      </c>
      <c r="AE6">
        <v>21.15000000000008</v>
      </c>
      <c r="AF6">
        <v>50.999999999999503</v>
      </c>
      <c r="AG6">
        <v>120</v>
      </c>
      <c r="AH6">
        <v>170.99999999999949</v>
      </c>
      <c r="AI6">
        <v>180</v>
      </c>
      <c r="AJ6">
        <v>0</v>
      </c>
      <c r="AK6">
        <v>0</v>
      </c>
      <c r="AL6">
        <v>5.0999999999999188</v>
      </c>
      <c r="AM6">
        <v>42.300000000000161</v>
      </c>
      <c r="AN6">
        <v>47.031000000000013</v>
      </c>
      <c r="AO6">
        <v>2.348999999999958</v>
      </c>
      <c r="AP6">
        <v>5.2200000000000326</v>
      </c>
      <c r="AQ6">
        <v>0</v>
      </c>
    </row>
    <row r="7" spans="1:43" x14ac:dyDescent="0.2">
      <c r="A7">
        <v>311</v>
      </c>
      <c r="B7">
        <v>37.5</v>
      </c>
      <c r="C7">
        <v>416.66666666666498</v>
      </c>
      <c r="D7">
        <v>500</v>
      </c>
      <c r="E7">
        <v>416.66666666666703</v>
      </c>
      <c r="F7">
        <f t="shared" si="0"/>
        <v>916.66666666666492</v>
      </c>
      <c r="G7">
        <f t="shared" si="1"/>
        <v>916.66666666666697</v>
      </c>
      <c r="H7">
        <v>1333.3333333333301</v>
      </c>
      <c r="I7">
        <v>0.33333333333333198</v>
      </c>
      <c r="J7">
        <v>0.4</v>
      </c>
      <c r="K7">
        <v>0.33333333333333359</v>
      </c>
      <c r="L7">
        <f t="shared" si="2"/>
        <v>0.73333333333333195</v>
      </c>
      <c r="M7">
        <f t="shared" si="3"/>
        <v>0.73333333333333361</v>
      </c>
      <c r="N7">
        <v>1.066666666666666</v>
      </c>
      <c r="O7">
        <f t="shared" si="4"/>
        <v>0.11666666666666803</v>
      </c>
      <c r="P7">
        <f t="shared" si="5"/>
        <v>0</v>
      </c>
      <c r="Q7">
        <f t="shared" si="6"/>
        <v>6.666666666666643E-2</v>
      </c>
      <c r="R7">
        <f t="shared" si="7"/>
        <v>0.13333333333333197</v>
      </c>
      <c r="S7">
        <f t="shared" si="8"/>
        <v>0.18333333333333357</v>
      </c>
      <c r="T7">
        <f t="shared" si="9"/>
        <v>6.6666666666665986E-2</v>
      </c>
      <c r="U7">
        <f t="shared" si="10"/>
        <v>0.13437096247164335</v>
      </c>
      <c r="V7">
        <f t="shared" si="11"/>
        <v>0.13437096247164357</v>
      </c>
      <c r="W7">
        <f t="shared" si="12"/>
        <v>0.23629078131262965</v>
      </c>
      <c r="X7">
        <v>0</v>
      </c>
      <c r="Y7">
        <v>31.2</v>
      </c>
      <c r="Z7">
        <v>91.2</v>
      </c>
      <c r="AA7">
        <v>82.8</v>
      </c>
      <c r="AB7">
        <v>19.15999999999973</v>
      </c>
      <c r="AC7">
        <v>0.75999999999997569</v>
      </c>
      <c r="AD7">
        <v>3.8800000000000892</v>
      </c>
      <c r="AE7">
        <v>24.2</v>
      </c>
      <c r="AF7">
        <v>47.999999999999787</v>
      </c>
      <c r="AG7">
        <v>127.9999999999999</v>
      </c>
      <c r="AH7">
        <v>175.99999999999969</v>
      </c>
      <c r="AI7">
        <v>180</v>
      </c>
      <c r="AJ7">
        <v>0</v>
      </c>
      <c r="AK7">
        <v>0</v>
      </c>
      <c r="AL7">
        <v>3.2000000000001618</v>
      </c>
      <c r="AM7">
        <v>48.4</v>
      </c>
      <c r="AN7">
        <v>38.319999999999467</v>
      </c>
      <c r="AO7">
        <v>1.5199999999999509</v>
      </c>
      <c r="AP7">
        <v>4.5600000000000156</v>
      </c>
      <c r="AQ7">
        <v>0</v>
      </c>
    </row>
    <row r="8" spans="1:43" x14ac:dyDescent="0.2">
      <c r="A8">
        <v>311</v>
      </c>
      <c r="B8">
        <v>35</v>
      </c>
      <c r="C8">
        <v>416.66666666666498</v>
      </c>
      <c r="D8">
        <v>500</v>
      </c>
      <c r="E8">
        <v>416.66666666666703</v>
      </c>
      <c r="F8">
        <f t="shared" si="0"/>
        <v>916.66666666666492</v>
      </c>
      <c r="G8">
        <f t="shared" si="1"/>
        <v>916.66666666666697</v>
      </c>
      <c r="H8">
        <v>1333.3333333333301</v>
      </c>
      <c r="I8">
        <v>0.35714285714285571</v>
      </c>
      <c r="J8">
        <v>0.42857142857142849</v>
      </c>
      <c r="K8">
        <v>0.35714285714285737</v>
      </c>
      <c r="L8">
        <f t="shared" si="2"/>
        <v>0.78571428571428414</v>
      </c>
      <c r="M8">
        <f t="shared" si="3"/>
        <v>0.78571428571428592</v>
      </c>
      <c r="N8">
        <v>1.1428571428571419</v>
      </c>
      <c r="O8">
        <f t="shared" si="4"/>
        <v>9.2857142857144304E-2</v>
      </c>
      <c r="P8">
        <f t="shared" si="5"/>
        <v>0</v>
      </c>
      <c r="Q8">
        <f t="shared" si="6"/>
        <v>4.2857142857142649E-2</v>
      </c>
      <c r="R8">
        <f t="shared" si="7"/>
        <v>0.11428571428571588</v>
      </c>
      <c r="S8">
        <f t="shared" si="8"/>
        <v>0.16428571428571404</v>
      </c>
      <c r="T8">
        <f t="shared" si="9"/>
        <v>0.14285714285714191</v>
      </c>
      <c r="U8">
        <f t="shared" si="10"/>
        <v>0.17038372059823659</v>
      </c>
      <c r="V8">
        <f t="shared" si="11"/>
        <v>0.10227015045197517</v>
      </c>
      <c r="W8">
        <f t="shared" si="12"/>
        <v>0.24588449254369296</v>
      </c>
      <c r="X8">
        <v>0</v>
      </c>
      <c r="Y8">
        <v>56.4</v>
      </c>
      <c r="Z8">
        <v>0</v>
      </c>
      <c r="AA8">
        <v>93.6</v>
      </c>
      <c r="AB8">
        <v>4.6285714285715791</v>
      </c>
      <c r="AC8">
        <v>6.7714285714286637</v>
      </c>
      <c r="AD8">
        <v>6.0857142857142916</v>
      </c>
      <c r="AE8">
        <v>25.371428571428499</v>
      </c>
      <c r="AF8">
        <v>42.857142857142946</v>
      </c>
      <c r="AG8">
        <v>137.142857142857</v>
      </c>
      <c r="AH8">
        <v>180</v>
      </c>
      <c r="AI8">
        <v>180</v>
      </c>
      <c r="AJ8">
        <v>0</v>
      </c>
      <c r="AK8">
        <v>13.542857142857329</v>
      </c>
      <c r="AL8">
        <v>12.17142857142858</v>
      </c>
      <c r="AM8">
        <v>50.742857142857012</v>
      </c>
      <c r="AN8">
        <v>9.2571428571431582</v>
      </c>
      <c r="AO8">
        <v>0</v>
      </c>
      <c r="AP8">
        <v>0</v>
      </c>
      <c r="AQ8">
        <v>0</v>
      </c>
    </row>
    <row r="9" spans="1:43" x14ac:dyDescent="0.2">
      <c r="A9">
        <v>311</v>
      </c>
      <c r="B9">
        <v>32.5</v>
      </c>
      <c r="C9">
        <v>416.66666666666498</v>
      </c>
      <c r="D9">
        <v>500</v>
      </c>
      <c r="E9">
        <v>416.66666666666703</v>
      </c>
      <c r="F9">
        <f t="shared" si="0"/>
        <v>916.66666666666492</v>
      </c>
      <c r="G9">
        <f t="shared" si="1"/>
        <v>916.66666666666697</v>
      </c>
      <c r="H9">
        <v>1333.3333333333301</v>
      </c>
      <c r="I9">
        <v>0.38461538461538308</v>
      </c>
      <c r="J9">
        <v>0.46153846153846162</v>
      </c>
      <c r="K9">
        <v>0.38461538461538503</v>
      </c>
      <c r="L9">
        <f t="shared" si="2"/>
        <v>0.84615384615384459</v>
      </c>
      <c r="M9">
        <f t="shared" si="3"/>
        <v>0.84615384615384648</v>
      </c>
      <c r="N9">
        <v>1.2307692307692299</v>
      </c>
      <c r="O9">
        <f t="shared" si="4"/>
        <v>6.5384615384616929E-2</v>
      </c>
      <c r="P9">
        <f t="shared" si="5"/>
        <v>0</v>
      </c>
      <c r="Q9">
        <f t="shared" si="6"/>
        <v>1.5384615384614997E-2</v>
      </c>
      <c r="R9">
        <f t="shared" si="7"/>
        <v>5.3846153846155431E-2</v>
      </c>
      <c r="S9">
        <f t="shared" si="8"/>
        <v>0.10384615384615348</v>
      </c>
      <c r="T9">
        <f t="shared" si="9"/>
        <v>0.23076923076922995</v>
      </c>
      <c r="U9">
        <f t="shared" si="10"/>
        <v>0.23985325888721293</v>
      </c>
      <c r="V9">
        <f t="shared" si="11"/>
        <v>6.7170189217589799E-2</v>
      </c>
      <c r="W9">
        <f t="shared" si="12"/>
        <v>0.25872353936680159</v>
      </c>
      <c r="X9">
        <v>0</v>
      </c>
      <c r="Y9">
        <v>34.799999999999997</v>
      </c>
      <c r="Z9">
        <v>78</v>
      </c>
      <c r="AA9">
        <v>28.8</v>
      </c>
      <c r="AB9">
        <v>19.523076923077269</v>
      </c>
      <c r="AC9">
        <v>10.707692307692319</v>
      </c>
      <c r="AD9">
        <v>1.5230769230768699</v>
      </c>
      <c r="AE9">
        <v>0.55384615384634039</v>
      </c>
      <c r="AF9">
        <v>32.307692307692427</v>
      </c>
      <c r="AG9">
        <v>147.69230769230759</v>
      </c>
      <c r="AH9">
        <v>180</v>
      </c>
      <c r="AI9">
        <v>180</v>
      </c>
      <c r="AJ9">
        <v>0</v>
      </c>
      <c r="AK9">
        <v>0</v>
      </c>
      <c r="AL9">
        <v>0</v>
      </c>
      <c r="AM9">
        <v>1.107692307692681</v>
      </c>
      <c r="AN9">
        <v>39.046153846154553</v>
      </c>
      <c r="AO9">
        <v>21.415384615384639</v>
      </c>
      <c r="AP9">
        <v>3.0461538461537399</v>
      </c>
      <c r="AQ9">
        <v>0</v>
      </c>
    </row>
    <row r="10" spans="1:43" x14ac:dyDescent="0.2">
      <c r="A10">
        <v>311</v>
      </c>
      <c r="B10">
        <v>30</v>
      </c>
      <c r="C10">
        <v>416.66666666666401</v>
      </c>
      <c r="D10">
        <v>500</v>
      </c>
      <c r="E10">
        <v>416.66666666666703</v>
      </c>
      <c r="F10">
        <f t="shared" si="0"/>
        <v>916.66666666666401</v>
      </c>
      <c r="G10">
        <f t="shared" si="1"/>
        <v>916.66666666666697</v>
      </c>
      <c r="H10">
        <v>1333.3333333333301</v>
      </c>
      <c r="I10">
        <v>0.41666666666666402</v>
      </c>
      <c r="J10">
        <v>0.5</v>
      </c>
      <c r="K10">
        <v>0.41666666666666702</v>
      </c>
      <c r="L10">
        <f t="shared" si="2"/>
        <v>0.91666666666666397</v>
      </c>
      <c r="M10">
        <f t="shared" si="3"/>
        <v>0.91666666666666696</v>
      </c>
      <c r="N10">
        <v>1.333333333333331</v>
      </c>
      <c r="O10">
        <f t="shared" si="4"/>
        <v>3.333333333333599E-2</v>
      </c>
      <c r="P10">
        <f t="shared" si="5"/>
        <v>0</v>
      </c>
      <c r="Q10">
        <f t="shared" si="6"/>
        <v>0</v>
      </c>
      <c r="R10">
        <f t="shared" si="7"/>
        <v>0</v>
      </c>
      <c r="S10">
        <f t="shared" si="8"/>
        <v>3.3333333333332993E-2</v>
      </c>
      <c r="T10">
        <f t="shared" si="9"/>
        <v>0.16666666666666896</v>
      </c>
      <c r="U10">
        <f t="shared" si="10"/>
        <v>0.16996731711976226</v>
      </c>
      <c r="V10">
        <f t="shared" si="11"/>
        <v>3.333333333333599E-2</v>
      </c>
      <c r="W10">
        <f t="shared" si="12"/>
        <v>0.16996731711976168</v>
      </c>
      <c r="X10">
        <v>0</v>
      </c>
      <c r="Y10">
        <v>38.4</v>
      </c>
      <c r="Z10">
        <v>86.399999999999991</v>
      </c>
      <c r="AA10">
        <v>40.799999999999997</v>
      </c>
      <c r="AB10">
        <v>15.800000000000161</v>
      </c>
      <c r="AC10">
        <v>3.8</v>
      </c>
      <c r="AD10">
        <v>0</v>
      </c>
      <c r="AE10">
        <v>0.40000000000016173</v>
      </c>
      <c r="AF10">
        <v>20.000000000000281</v>
      </c>
      <c r="AG10">
        <v>159.99999999999969</v>
      </c>
      <c r="AH10">
        <v>180</v>
      </c>
      <c r="AI10">
        <v>180</v>
      </c>
      <c r="AJ10">
        <v>0</v>
      </c>
      <c r="AK10">
        <v>0</v>
      </c>
      <c r="AL10">
        <v>0</v>
      </c>
      <c r="AM10">
        <v>0.80000000000032334</v>
      </c>
      <c r="AN10">
        <v>31.600000000000321</v>
      </c>
      <c r="AO10">
        <v>7.6</v>
      </c>
      <c r="AP10">
        <v>0</v>
      </c>
      <c r="AQ10">
        <v>0</v>
      </c>
    </row>
    <row r="11" spans="1:43" x14ac:dyDescent="0.2">
      <c r="A11">
        <v>311</v>
      </c>
      <c r="B11">
        <v>27.5</v>
      </c>
      <c r="C11">
        <v>416.66666666666401</v>
      </c>
      <c r="D11">
        <v>500</v>
      </c>
      <c r="E11">
        <v>416.66666666666703</v>
      </c>
      <c r="F11">
        <f t="shared" si="0"/>
        <v>916.66666666666401</v>
      </c>
      <c r="G11">
        <f t="shared" si="1"/>
        <v>916.66666666666697</v>
      </c>
      <c r="H11">
        <v>1333.3333333333301</v>
      </c>
      <c r="I11">
        <v>0.45454545454545159</v>
      </c>
      <c r="J11">
        <v>0.54545454545454553</v>
      </c>
      <c r="K11">
        <v>0.45454545454545497</v>
      </c>
      <c r="L11">
        <f t="shared" si="2"/>
        <v>0.99999999999999711</v>
      </c>
      <c r="M11">
        <f t="shared" si="3"/>
        <v>1.0000000000000004</v>
      </c>
      <c r="N11">
        <v>1.4545454545454519</v>
      </c>
      <c r="O11">
        <f t="shared" si="4"/>
        <v>0</v>
      </c>
      <c r="P11">
        <f t="shared" si="5"/>
        <v>0</v>
      </c>
      <c r="Q11">
        <f t="shared" si="6"/>
        <v>0</v>
      </c>
      <c r="R11">
        <f t="shared" si="7"/>
        <v>0</v>
      </c>
      <c r="S11">
        <f t="shared" si="8"/>
        <v>0</v>
      </c>
      <c r="T11">
        <f t="shared" si="9"/>
        <v>4.5454545454548079E-2</v>
      </c>
      <c r="U11">
        <f t="shared" si="10"/>
        <v>4.5454545454548079E-2</v>
      </c>
      <c r="V11">
        <f t="shared" si="11"/>
        <v>0</v>
      </c>
      <c r="W11">
        <f t="shared" si="12"/>
        <v>4.5454545454548079E-2</v>
      </c>
      <c r="X11">
        <v>0</v>
      </c>
      <c r="Y11">
        <v>58.8</v>
      </c>
      <c r="Z11">
        <v>0</v>
      </c>
      <c r="AA11">
        <v>58.8</v>
      </c>
      <c r="AB11">
        <v>-2.587007151709663E-12</v>
      </c>
      <c r="AC11">
        <v>2.127272727272874</v>
      </c>
      <c r="AD11">
        <v>3.3272727272727129</v>
      </c>
      <c r="AE11">
        <v>-4.8506384094556172E-13</v>
      </c>
      <c r="AF11">
        <v>5.4545454545424263</v>
      </c>
      <c r="AG11">
        <v>174.54545454545419</v>
      </c>
      <c r="AH11">
        <v>179.9999999999967</v>
      </c>
      <c r="AI11">
        <v>180</v>
      </c>
      <c r="AJ11">
        <v>0</v>
      </c>
      <c r="AK11">
        <v>4.2545454545457488</v>
      </c>
      <c r="AL11">
        <v>0</v>
      </c>
      <c r="AM11">
        <v>-9.7012768189112344E-13</v>
      </c>
      <c r="AN11">
        <v>-5.1740143034193253E-12</v>
      </c>
      <c r="AO11">
        <v>0</v>
      </c>
      <c r="AP11">
        <v>6.654545454545425</v>
      </c>
      <c r="AQ11">
        <v>0</v>
      </c>
    </row>
    <row r="12" spans="1:43" x14ac:dyDescent="0.2">
      <c r="A12">
        <v>311</v>
      </c>
      <c r="B12">
        <v>25</v>
      </c>
      <c r="C12">
        <v>416.66666666666401</v>
      </c>
      <c r="D12">
        <v>500</v>
      </c>
      <c r="E12">
        <v>416.66666666666703</v>
      </c>
      <c r="F12">
        <f t="shared" si="0"/>
        <v>916.66666666666401</v>
      </c>
      <c r="G12">
        <f t="shared" si="1"/>
        <v>916.66666666666697</v>
      </c>
      <c r="H12">
        <v>1333.3333333333301</v>
      </c>
      <c r="I12">
        <v>0.49999999999999678</v>
      </c>
      <c r="J12">
        <v>0.6</v>
      </c>
      <c r="K12">
        <v>0.50000000000000044</v>
      </c>
      <c r="L12">
        <f t="shared" si="2"/>
        <v>1.0999999999999968</v>
      </c>
      <c r="M12">
        <f t="shared" si="3"/>
        <v>1.1000000000000003</v>
      </c>
      <c r="N12">
        <v>1.599999999999997</v>
      </c>
      <c r="O12">
        <f t="shared" si="4"/>
        <v>0</v>
      </c>
      <c r="P12">
        <f t="shared" si="5"/>
        <v>0</v>
      </c>
      <c r="Q12">
        <f t="shared" si="6"/>
        <v>0</v>
      </c>
      <c r="R12">
        <f t="shared" si="7"/>
        <v>0</v>
      </c>
      <c r="S12">
        <f t="shared" si="8"/>
        <v>5.0000000000000308E-2</v>
      </c>
      <c r="T12">
        <f t="shared" si="9"/>
        <v>9.999999999999698E-2</v>
      </c>
      <c r="U12">
        <f t="shared" si="10"/>
        <v>9.999999999999698E-2</v>
      </c>
      <c r="V12">
        <f t="shared" si="11"/>
        <v>0</v>
      </c>
      <c r="W12">
        <f t="shared" si="12"/>
        <v>0.11180339887498693</v>
      </c>
      <c r="X12">
        <v>0</v>
      </c>
      <c r="Y12">
        <v>48</v>
      </c>
      <c r="Z12">
        <v>12</v>
      </c>
      <c r="AA12">
        <v>72</v>
      </c>
      <c r="AB12">
        <v>2.399999999997656</v>
      </c>
      <c r="AC12">
        <v>9.5999999999999197</v>
      </c>
      <c r="AD12">
        <v>-2.3848972179823452E-12</v>
      </c>
      <c r="AE12">
        <v>0</v>
      </c>
      <c r="AF12">
        <v>11.999999999994859</v>
      </c>
      <c r="AG12">
        <v>191.99999999999969</v>
      </c>
      <c r="AH12">
        <v>203.99999999999449</v>
      </c>
      <c r="AI12">
        <v>180</v>
      </c>
      <c r="AJ12">
        <v>0</v>
      </c>
      <c r="AK12">
        <v>0</v>
      </c>
      <c r="AL12">
        <v>-4.7697944359646903E-12</v>
      </c>
      <c r="AM12">
        <v>0</v>
      </c>
      <c r="AN12">
        <v>4.7999999999953111</v>
      </c>
      <c r="AO12">
        <v>19.199999999999839</v>
      </c>
      <c r="AP12">
        <v>0</v>
      </c>
      <c r="AQ12">
        <v>0</v>
      </c>
    </row>
    <row r="13" spans="1:43" x14ac:dyDescent="0.2">
      <c r="A13">
        <v>311</v>
      </c>
      <c r="B13">
        <v>22.5</v>
      </c>
      <c r="C13">
        <v>416.66666666666299</v>
      </c>
      <c r="D13">
        <v>500</v>
      </c>
      <c r="E13">
        <v>416.66666666666703</v>
      </c>
      <c r="F13">
        <f t="shared" si="0"/>
        <v>916.66666666666299</v>
      </c>
      <c r="G13">
        <f t="shared" si="1"/>
        <v>916.66666666666697</v>
      </c>
      <c r="H13">
        <v>1333.3333333333301</v>
      </c>
      <c r="I13">
        <v>0.5555555555555507</v>
      </c>
      <c r="J13">
        <v>0.66666666666666663</v>
      </c>
      <c r="K13">
        <v>0.55555555555555602</v>
      </c>
      <c r="L13">
        <f t="shared" si="2"/>
        <v>1.2222222222222172</v>
      </c>
      <c r="M13">
        <f t="shared" si="3"/>
        <v>1.2222222222222225</v>
      </c>
      <c r="N13">
        <v>1.777777777777773</v>
      </c>
      <c r="O13">
        <f t="shared" si="4"/>
        <v>5.5555555555506508E-3</v>
      </c>
      <c r="P13">
        <f t="shared" si="5"/>
        <v>1.6666666666666607E-2</v>
      </c>
      <c r="Q13">
        <f t="shared" si="6"/>
        <v>0</v>
      </c>
      <c r="R13">
        <f t="shared" si="7"/>
        <v>0.12222222222221721</v>
      </c>
      <c r="S13">
        <f t="shared" si="8"/>
        <v>0.17222222222222255</v>
      </c>
      <c r="T13">
        <f t="shared" si="9"/>
        <v>0.22222222222222698</v>
      </c>
      <c r="U13">
        <f t="shared" si="10"/>
        <v>0.22229165581936638</v>
      </c>
      <c r="V13">
        <f t="shared" si="11"/>
        <v>1.7568209223156057E-2</v>
      </c>
      <c r="W13">
        <f t="shared" si="12"/>
        <v>0.30656399247381039</v>
      </c>
      <c r="X13">
        <v>0</v>
      </c>
      <c r="Y13">
        <v>55.2</v>
      </c>
      <c r="Z13">
        <v>3.6</v>
      </c>
      <c r="AA13">
        <v>93.6</v>
      </c>
      <c r="AB13">
        <v>5.3066666666671356</v>
      </c>
      <c r="AC13">
        <v>17.42666666666668</v>
      </c>
      <c r="AD13">
        <v>3.8</v>
      </c>
      <c r="AE13">
        <v>0.13333333333349501</v>
      </c>
      <c r="AF13">
        <v>26.666666666667169</v>
      </c>
      <c r="AG13">
        <v>213.3333333333328</v>
      </c>
      <c r="AH13">
        <v>240</v>
      </c>
      <c r="AI13">
        <v>180</v>
      </c>
      <c r="AJ13">
        <v>0</v>
      </c>
      <c r="AK13">
        <v>0</v>
      </c>
      <c r="AL13">
        <v>0</v>
      </c>
      <c r="AM13">
        <v>0.26666666666699002</v>
      </c>
      <c r="AN13">
        <v>10.613333333334269</v>
      </c>
      <c r="AO13">
        <v>34.853333333333367</v>
      </c>
      <c r="AP13">
        <v>7.6</v>
      </c>
      <c r="AQ13">
        <v>0</v>
      </c>
    </row>
    <row r="14" spans="1:43" x14ac:dyDescent="0.2">
      <c r="A14">
        <v>311</v>
      </c>
      <c r="B14">
        <v>20</v>
      </c>
      <c r="C14">
        <v>416.66666666666299</v>
      </c>
      <c r="D14">
        <v>500</v>
      </c>
      <c r="E14">
        <v>416.66666666666703</v>
      </c>
      <c r="F14">
        <f t="shared" si="0"/>
        <v>916.66666666666299</v>
      </c>
      <c r="G14">
        <f t="shared" si="1"/>
        <v>916.66666666666697</v>
      </c>
      <c r="H14">
        <v>1333.3333333333301</v>
      </c>
      <c r="I14">
        <v>0.62499999999999456</v>
      </c>
      <c r="J14">
        <v>0.75</v>
      </c>
      <c r="K14">
        <v>0.62500000000000056</v>
      </c>
      <c r="L14">
        <f t="shared" si="2"/>
        <v>1.3749999999999947</v>
      </c>
      <c r="M14">
        <f t="shared" si="3"/>
        <v>1.3750000000000004</v>
      </c>
      <c r="N14">
        <v>1.9999999999999949</v>
      </c>
      <c r="O14">
        <f t="shared" si="4"/>
        <v>7.4999999999994515E-2</v>
      </c>
      <c r="P14">
        <f t="shared" si="5"/>
        <v>9.9999999999999978E-2</v>
      </c>
      <c r="Q14">
        <f t="shared" si="6"/>
        <v>2.5000000000000577E-2</v>
      </c>
      <c r="R14">
        <f t="shared" si="7"/>
        <v>2.5000000000005351E-2</v>
      </c>
      <c r="S14">
        <f t="shared" si="8"/>
        <v>7.4999999999999567E-2</v>
      </c>
      <c r="T14">
        <f t="shared" si="9"/>
        <v>5.1070259132757201E-15</v>
      </c>
      <c r="U14">
        <f t="shared" si="10"/>
        <v>7.4999999999994515E-2</v>
      </c>
      <c r="V14">
        <f t="shared" si="11"/>
        <v>0.12747548783981649</v>
      </c>
      <c r="W14">
        <f t="shared" si="12"/>
        <v>7.9056941504210762E-2</v>
      </c>
      <c r="X14">
        <v>0</v>
      </c>
      <c r="Y14">
        <v>44.4</v>
      </c>
      <c r="Z14">
        <v>63.599999999999987</v>
      </c>
      <c r="AA14">
        <v>0</v>
      </c>
      <c r="AB14">
        <v>-4.5272625154919103E-12</v>
      </c>
      <c r="AC14">
        <v>7.439999999999741</v>
      </c>
      <c r="AD14">
        <v>9.8999999999999186</v>
      </c>
      <c r="AE14">
        <v>6.6599999999990862</v>
      </c>
      <c r="AF14">
        <v>23.999999999994099</v>
      </c>
      <c r="AG14">
        <v>239.9999999999994</v>
      </c>
      <c r="AH14">
        <v>263.99999999999352</v>
      </c>
      <c r="AI14">
        <v>180</v>
      </c>
      <c r="AJ14">
        <v>0</v>
      </c>
      <c r="AK14">
        <v>14.87999999999948</v>
      </c>
      <c r="AL14">
        <v>19.799999999999841</v>
      </c>
      <c r="AM14">
        <v>13.319999999998171</v>
      </c>
      <c r="AN14">
        <v>-9.054525030983819E-12</v>
      </c>
      <c r="AO14">
        <v>0</v>
      </c>
      <c r="AP14">
        <v>0</v>
      </c>
      <c r="AQ14">
        <v>0</v>
      </c>
    </row>
    <row r="15" spans="1:43" x14ac:dyDescent="0.2">
      <c r="A15">
        <v>312</v>
      </c>
      <c r="B15">
        <v>50</v>
      </c>
      <c r="C15">
        <v>583.33333333333337</v>
      </c>
      <c r="D15">
        <v>500</v>
      </c>
      <c r="E15">
        <v>583.33333333333337</v>
      </c>
      <c r="F15">
        <f t="shared" si="0"/>
        <v>1083.3333333333335</v>
      </c>
      <c r="G15">
        <f t="shared" si="1"/>
        <v>1083.3333333333335</v>
      </c>
      <c r="H15">
        <v>1666.666666666667</v>
      </c>
      <c r="I15">
        <v>0.35</v>
      </c>
      <c r="J15">
        <v>0.3</v>
      </c>
      <c r="K15">
        <v>0.35</v>
      </c>
      <c r="L15">
        <f t="shared" si="2"/>
        <v>0.65</v>
      </c>
      <c r="M15">
        <f t="shared" si="3"/>
        <v>0.65</v>
      </c>
      <c r="N15">
        <v>1</v>
      </c>
      <c r="O15">
        <f t="shared" si="4"/>
        <v>0.10000000000000003</v>
      </c>
      <c r="P15">
        <f t="shared" si="5"/>
        <v>4.9999999999999989E-2</v>
      </c>
      <c r="Q15">
        <f t="shared" si="6"/>
        <v>5.0000000000000044E-2</v>
      </c>
      <c r="R15">
        <f t="shared" si="7"/>
        <v>5.0000000000000044E-2</v>
      </c>
      <c r="S15">
        <f t="shared" si="8"/>
        <v>9.9999999999999978E-2</v>
      </c>
      <c r="T15">
        <f t="shared" si="9"/>
        <v>0</v>
      </c>
      <c r="U15">
        <f t="shared" si="10"/>
        <v>0.10000000000000003</v>
      </c>
      <c r="V15">
        <f t="shared" si="11"/>
        <v>0.12247448713915894</v>
      </c>
      <c r="W15">
        <f t="shared" si="12"/>
        <v>0.11180339887498948</v>
      </c>
      <c r="X15">
        <v>0</v>
      </c>
      <c r="Y15">
        <v>56.4</v>
      </c>
      <c r="Z15">
        <v>43.2</v>
      </c>
      <c r="AA15">
        <v>110.4</v>
      </c>
      <c r="AB15">
        <v>5.8799999999999271</v>
      </c>
      <c r="AC15">
        <v>11.52000000000003</v>
      </c>
      <c r="AD15">
        <v>12.960000000000059</v>
      </c>
      <c r="AE15">
        <v>5.6399999999996204</v>
      </c>
      <c r="AF15">
        <v>35.999999999999588</v>
      </c>
      <c r="AG15">
        <v>120</v>
      </c>
      <c r="AH15">
        <v>155.9999999999996</v>
      </c>
      <c r="AI15">
        <v>180</v>
      </c>
      <c r="AJ15">
        <v>0</v>
      </c>
      <c r="AK15">
        <v>14.4</v>
      </c>
      <c r="AL15">
        <v>15.120000000000109</v>
      </c>
      <c r="AM15">
        <v>11.279999999999241</v>
      </c>
      <c r="AN15">
        <v>11.759999999999851</v>
      </c>
      <c r="AO15">
        <v>8.6400000000000645</v>
      </c>
      <c r="AP15">
        <v>10.8</v>
      </c>
      <c r="AQ15">
        <v>0</v>
      </c>
    </row>
    <row r="16" spans="1:43" x14ac:dyDescent="0.2">
      <c r="A16">
        <v>312</v>
      </c>
      <c r="B16">
        <v>47.5</v>
      </c>
      <c r="C16">
        <v>583.33333333333337</v>
      </c>
      <c r="D16">
        <v>500</v>
      </c>
      <c r="E16">
        <v>583.33333333333337</v>
      </c>
      <c r="F16">
        <f t="shared" si="0"/>
        <v>1083.3333333333335</v>
      </c>
      <c r="G16">
        <f t="shared" si="1"/>
        <v>1083.3333333333335</v>
      </c>
      <c r="H16">
        <v>1666.666666666667</v>
      </c>
      <c r="I16">
        <v>0.36842105263157898</v>
      </c>
      <c r="J16">
        <v>0.31578947368421062</v>
      </c>
      <c r="K16">
        <v>0.36842105263157898</v>
      </c>
      <c r="L16">
        <f t="shared" si="2"/>
        <v>0.6842105263157896</v>
      </c>
      <c r="M16">
        <f t="shared" si="3"/>
        <v>0.6842105263157896</v>
      </c>
      <c r="N16">
        <v>1.052631578947369</v>
      </c>
      <c r="O16">
        <f t="shared" si="4"/>
        <v>8.1578947368421029E-2</v>
      </c>
      <c r="P16">
        <f t="shared" si="5"/>
        <v>3.4210526315789358E-2</v>
      </c>
      <c r="Q16">
        <f t="shared" si="6"/>
        <v>3.157894736842104E-2</v>
      </c>
      <c r="R16">
        <f t="shared" si="7"/>
        <v>8.4210526315789624E-2</v>
      </c>
      <c r="S16">
        <f t="shared" si="8"/>
        <v>0.13421052631578956</v>
      </c>
      <c r="T16">
        <f t="shared" si="9"/>
        <v>5.2631578947369029E-2</v>
      </c>
      <c r="U16">
        <f t="shared" si="10"/>
        <v>9.7083509187877767E-2</v>
      </c>
      <c r="V16">
        <f t="shared" si="11"/>
        <v>9.3929306829340711E-2</v>
      </c>
      <c r="W16">
        <f t="shared" si="12"/>
        <v>0.16695496763749401</v>
      </c>
      <c r="X16">
        <v>0</v>
      </c>
      <c r="Y16">
        <v>45.6</v>
      </c>
      <c r="Z16">
        <v>46.8</v>
      </c>
      <c r="AA16">
        <v>116.4</v>
      </c>
      <c r="AB16">
        <v>11.80421052631557</v>
      </c>
      <c r="AC16">
        <v>11.532631578947379</v>
      </c>
      <c r="AD16">
        <v>6.9031578947368368</v>
      </c>
      <c r="AE16">
        <v>3.2336842105263921</v>
      </c>
      <c r="AF16">
        <v>33.473684210525853</v>
      </c>
      <c r="AG16">
        <v>126.31578947368421</v>
      </c>
      <c r="AH16">
        <v>159.78947368421009</v>
      </c>
      <c r="AI16">
        <v>180</v>
      </c>
      <c r="AJ16">
        <v>0</v>
      </c>
      <c r="AK16">
        <v>1.389473684210518</v>
      </c>
      <c r="AL16">
        <v>7.6168421052631556</v>
      </c>
      <c r="AM16">
        <v>6.4673684210527833</v>
      </c>
      <c r="AN16">
        <v>23.60842105263113</v>
      </c>
      <c r="AO16">
        <v>21.67578947368424</v>
      </c>
      <c r="AP16">
        <v>6.189473684210518</v>
      </c>
      <c r="AQ16">
        <v>0</v>
      </c>
    </row>
    <row r="17" spans="1:43" x14ac:dyDescent="0.2">
      <c r="A17">
        <v>312</v>
      </c>
      <c r="B17">
        <v>45</v>
      </c>
      <c r="C17">
        <v>583.33333333333337</v>
      </c>
      <c r="D17">
        <v>500</v>
      </c>
      <c r="E17">
        <v>583.33333333333337</v>
      </c>
      <c r="F17">
        <f t="shared" si="0"/>
        <v>1083.3333333333335</v>
      </c>
      <c r="G17">
        <f t="shared" si="1"/>
        <v>1083.3333333333335</v>
      </c>
      <c r="H17">
        <v>1666.666666666667</v>
      </c>
      <c r="I17">
        <v>0.3888888888888889</v>
      </c>
      <c r="J17">
        <v>0.33333333333333331</v>
      </c>
      <c r="K17">
        <v>0.3888888888888889</v>
      </c>
      <c r="L17">
        <f t="shared" si="2"/>
        <v>0.72222222222222232</v>
      </c>
      <c r="M17">
        <f t="shared" si="3"/>
        <v>0.72222222222222232</v>
      </c>
      <c r="N17">
        <v>1.1111111111111109</v>
      </c>
      <c r="O17">
        <f t="shared" si="4"/>
        <v>6.1111111111111116E-2</v>
      </c>
      <c r="P17">
        <f t="shared" si="5"/>
        <v>1.6666666666666663E-2</v>
      </c>
      <c r="Q17">
        <f t="shared" si="6"/>
        <v>1.1111111111111127E-2</v>
      </c>
      <c r="R17">
        <f t="shared" si="7"/>
        <v>0.12222222222222234</v>
      </c>
      <c r="S17">
        <f t="shared" si="8"/>
        <v>0.17222222222222228</v>
      </c>
      <c r="T17">
        <f t="shared" si="9"/>
        <v>0.11111111111111094</v>
      </c>
      <c r="U17">
        <f t="shared" si="10"/>
        <v>0.12680791345014791</v>
      </c>
      <c r="V17">
        <f t="shared" si="11"/>
        <v>6.4310205015501262E-2</v>
      </c>
      <c r="W17">
        <f t="shared" si="12"/>
        <v>0.23863035105460589</v>
      </c>
      <c r="X17">
        <v>0</v>
      </c>
      <c r="Y17">
        <v>51.6</v>
      </c>
      <c r="Z17">
        <v>64.8</v>
      </c>
      <c r="AA17">
        <v>16.8</v>
      </c>
      <c r="AB17">
        <v>8.9866666666666184</v>
      </c>
      <c r="AC17">
        <v>18.946666666666719</v>
      </c>
      <c r="AD17">
        <v>1.50666666666661</v>
      </c>
      <c r="AE17">
        <v>1.226666666666683</v>
      </c>
      <c r="AF17">
        <v>30.66666666666622</v>
      </c>
      <c r="AG17">
        <v>133.33333333333329</v>
      </c>
      <c r="AH17">
        <v>163.99999999999949</v>
      </c>
      <c r="AI17">
        <v>180</v>
      </c>
      <c r="AJ17">
        <v>0</v>
      </c>
      <c r="AK17">
        <v>4.9333333333333336</v>
      </c>
      <c r="AL17">
        <v>1.679999999999968</v>
      </c>
      <c r="AM17">
        <v>2.453333333333366</v>
      </c>
      <c r="AN17">
        <v>17.97333333333324</v>
      </c>
      <c r="AO17">
        <v>32.9600000000001</v>
      </c>
      <c r="AP17">
        <v>1.333333333333252</v>
      </c>
      <c r="AQ17">
        <v>0</v>
      </c>
    </row>
    <row r="18" spans="1:43" x14ac:dyDescent="0.2">
      <c r="A18">
        <v>312</v>
      </c>
      <c r="B18">
        <v>42.5</v>
      </c>
      <c r="C18">
        <v>583.33333333333337</v>
      </c>
      <c r="D18">
        <v>500</v>
      </c>
      <c r="E18">
        <v>583.33333333333337</v>
      </c>
      <c r="F18">
        <f t="shared" si="0"/>
        <v>1083.3333333333335</v>
      </c>
      <c r="G18">
        <f t="shared" si="1"/>
        <v>1083.3333333333335</v>
      </c>
      <c r="H18">
        <v>1666.666666666667</v>
      </c>
      <c r="I18">
        <v>0.41176470588235292</v>
      </c>
      <c r="J18">
        <v>0.3529411764705882</v>
      </c>
      <c r="K18">
        <v>0.41176470588235292</v>
      </c>
      <c r="L18">
        <f t="shared" si="2"/>
        <v>0.76470588235294124</v>
      </c>
      <c r="M18">
        <f t="shared" si="3"/>
        <v>0.76470588235294124</v>
      </c>
      <c r="N18">
        <v>1.1764705882352939</v>
      </c>
      <c r="O18">
        <f t="shared" si="4"/>
        <v>3.823529411764709E-2</v>
      </c>
      <c r="P18">
        <f t="shared" si="5"/>
        <v>0</v>
      </c>
      <c r="Q18">
        <f t="shared" si="6"/>
        <v>0</v>
      </c>
      <c r="R18">
        <f t="shared" si="7"/>
        <v>0.13529411764705879</v>
      </c>
      <c r="S18">
        <f t="shared" si="8"/>
        <v>0.18529411764705872</v>
      </c>
      <c r="T18">
        <f t="shared" si="9"/>
        <v>0.17647058823529393</v>
      </c>
      <c r="U18">
        <f t="shared" si="10"/>
        <v>0.18056524091965662</v>
      </c>
      <c r="V18">
        <f t="shared" si="11"/>
        <v>3.823529411764709E-2</v>
      </c>
      <c r="W18">
        <f t="shared" si="12"/>
        <v>0.28944822821466515</v>
      </c>
      <c r="X18">
        <v>0</v>
      </c>
      <c r="Y18">
        <v>55.2</v>
      </c>
      <c r="Z18">
        <v>67.2</v>
      </c>
      <c r="AA18">
        <v>20.399999999999999</v>
      </c>
      <c r="AB18">
        <v>6.1905882352941664</v>
      </c>
      <c r="AC18">
        <v>20.880000000000049</v>
      </c>
      <c r="AD18">
        <v>1.9058823529411</v>
      </c>
      <c r="AE18">
        <v>1.3764705882354371</v>
      </c>
      <c r="AF18">
        <v>30.352941176470281</v>
      </c>
      <c r="AG18">
        <v>141.1764705882353</v>
      </c>
      <c r="AH18">
        <v>171.5294117647056</v>
      </c>
      <c r="AI18">
        <v>180</v>
      </c>
      <c r="AJ18">
        <v>0</v>
      </c>
      <c r="AK18">
        <v>5.7882352941176372</v>
      </c>
      <c r="AL18">
        <v>3.8117647058822008</v>
      </c>
      <c r="AM18">
        <v>2.7529411764708742</v>
      </c>
      <c r="AN18">
        <v>12.381176470588329</v>
      </c>
      <c r="AO18">
        <v>35.971764705882457</v>
      </c>
      <c r="AP18">
        <v>0</v>
      </c>
      <c r="AQ18">
        <v>0</v>
      </c>
    </row>
    <row r="19" spans="1:43" x14ac:dyDescent="0.2">
      <c r="A19">
        <v>312</v>
      </c>
      <c r="B19">
        <v>40</v>
      </c>
      <c r="C19">
        <v>583.33333333333337</v>
      </c>
      <c r="D19">
        <v>500</v>
      </c>
      <c r="E19">
        <v>583.33333333333337</v>
      </c>
      <c r="F19">
        <f t="shared" si="0"/>
        <v>1083.3333333333335</v>
      </c>
      <c r="G19">
        <f t="shared" si="1"/>
        <v>1083.3333333333335</v>
      </c>
      <c r="H19">
        <v>1666.666666666667</v>
      </c>
      <c r="I19">
        <v>0.43750000000000011</v>
      </c>
      <c r="J19">
        <v>0.375</v>
      </c>
      <c r="K19">
        <v>0.43750000000000011</v>
      </c>
      <c r="L19">
        <f t="shared" si="2"/>
        <v>0.81250000000000011</v>
      </c>
      <c r="M19">
        <f t="shared" si="3"/>
        <v>0.81250000000000011</v>
      </c>
      <c r="N19">
        <v>1.25</v>
      </c>
      <c r="O19">
        <f t="shared" si="4"/>
        <v>1.24999999999999E-2</v>
      </c>
      <c r="P19">
        <f t="shared" si="5"/>
        <v>0</v>
      </c>
      <c r="Q19">
        <f t="shared" si="6"/>
        <v>0</v>
      </c>
      <c r="R19">
        <f t="shared" si="7"/>
        <v>8.7499999999999911E-2</v>
      </c>
      <c r="S19">
        <f t="shared" si="8"/>
        <v>0.13749999999999984</v>
      </c>
      <c r="T19">
        <f t="shared" si="9"/>
        <v>0.25</v>
      </c>
      <c r="U19">
        <f t="shared" si="10"/>
        <v>0.25031230493125983</v>
      </c>
      <c r="V19">
        <f t="shared" si="11"/>
        <v>1.24999999999999E-2</v>
      </c>
      <c r="W19">
        <f t="shared" si="12"/>
        <v>0.29843340965783294</v>
      </c>
      <c r="X19">
        <v>0</v>
      </c>
      <c r="Y19">
        <v>40.799999999999997</v>
      </c>
      <c r="Z19">
        <v>0</v>
      </c>
      <c r="AA19">
        <v>52.8</v>
      </c>
      <c r="AB19">
        <v>11.25</v>
      </c>
      <c r="AC19">
        <v>0</v>
      </c>
      <c r="AD19">
        <v>18.600000000000001</v>
      </c>
      <c r="AE19">
        <v>0.15</v>
      </c>
      <c r="AF19">
        <v>30</v>
      </c>
      <c r="AG19">
        <v>150</v>
      </c>
      <c r="AH19">
        <v>180</v>
      </c>
      <c r="AI19">
        <v>180</v>
      </c>
      <c r="AJ19">
        <v>0</v>
      </c>
      <c r="AK19">
        <v>0</v>
      </c>
      <c r="AL19">
        <v>22.5</v>
      </c>
      <c r="AM19">
        <v>0.3</v>
      </c>
      <c r="AN19">
        <v>22.5</v>
      </c>
      <c r="AO19">
        <v>0</v>
      </c>
      <c r="AP19">
        <v>14.7</v>
      </c>
      <c r="AQ19">
        <v>0</v>
      </c>
    </row>
    <row r="20" spans="1:43" x14ac:dyDescent="0.2">
      <c r="A20">
        <v>312</v>
      </c>
      <c r="B20">
        <v>37.5</v>
      </c>
      <c r="C20">
        <v>583.33333333333337</v>
      </c>
      <c r="D20">
        <v>500</v>
      </c>
      <c r="E20">
        <v>583.33333333333337</v>
      </c>
      <c r="F20">
        <f t="shared" si="0"/>
        <v>1083.3333333333335</v>
      </c>
      <c r="G20">
        <f t="shared" si="1"/>
        <v>1083.3333333333335</v>
      </c>
      <c r="H20">
        <v>1666.666666666667</v>
      </c>
      <c r="I20">
        <v>0.46666666666666667</v>
      </c>
      <c r="J20">
        <v>0.4</v>
      </c>
      <c r="K20">
        <v>0.46666666666666667</v>
      </c>
      <c r="L20">
        <f t="shared" si="2"/>
        <v>0.86666666666666681</v>
      </c>
      <c r="M20">
        <f t="shared" si="3"/>
        <v>0.86666666666666681</v>
      </c>
      <c r="N20">
        <v>1.333333333333333</v>
      </c>
      <c r="O20">
        <f t="shared" si="4"/>
        <v>0</v>
      </c>
      <c r="P20">
        <f t="shared" si="5"/>
        <v>0</v>
      </c>
      <c r="Q20">
        <f t="shared" si="6"/>
        <v>0</v>
      </c>
      <c r="R20">
        <f t="shared" si="7"/>
        <v>3.3333333333333215E-2</v>
      </c>
      <c r="S20">
        <f t="shared" si="8"/>
        <v>8.3333333333333148E-2</v>
      </c>
      <c r="T20">
        <f t="shared" si="9"/>
        <v>0.16666666666666696</v>
      </c>
      <c r="U20">
        <f t="shared" si="10"/>
        <v>0.16666666666666696</v>
      </c>
      <c r="V20">
        <f t="shared" si="11"/>
        <v>0</v>
      </c>
      <c r="W20">
        <f t="shared" si="12"/>
        <v>0.18929694486000928</v>
      </c>
      <c r="X20">
        <v>0</v>
      </c>
      <c r="Y20">
        <v>44.4</v>
      </c>
      <c r="Z20">
        <v>0</v>
      </c>
      <c r="AA20">
        <v>56.4</v>
      </c>
      <c r="AB20">
        <v>8</v>
      </c>
      <c r="AC20">
        <v>0</v>
      </c>
      <c r="AD20">
        <v>11.800000000000081</v>
      </c>
      <c r="AE20">
        <v>0.2</v>
      </c>
      <c r="AF20">
        <v>20</v>
      </c>
      <c r="AG20">
        <v>160</v>
      </c>
      <c r="AH20">
        <v>180</v>
      </c>
      <c r="AI20">
        <v>180</v>
      </c>
      <c r="AJ20">
        <v>0</v>
      </c>
      <c r="AK20">
        <v>0</v>
      </c>
      <c r="AL20">
        <v>16</v>
      </c>
      <c r="AM20">
        <v>0.4</v>
      </c>
      <c r="AN20">
        <v>16</v>
      </c>
      <c r="AO20">
        <v>0</v>
      </c>
      <c r="AP20">
        <v>7.6000000000001613</v>
      </c>
      <c r="AQ20">
        <v>0</v>
      </c>
    </row>
    <row r="21" spans="1:43" x14ac:dyDescent="0.2">
      <c r="A21">
        <v>312</v>
      </c>
      <c r="B21">
        <v>35</v>
      </c>
      <c r="C21">
        <v>583.33333333333337</v>
      </c>
      <c r="D21">
        <v>500</v>
      </c>
      <c r="E21">
        <v>583.33333333333337</v>
      </c>
      <c r="F21">
        <f t="shared" si="0"/>
        <v>1083.3333333333335</v>
      </c>
      <c r="G21">
        <f t="shared" si="1"/>
        <v>1083.3333333333335</v>
      </c>
      <c r="H21">
        <v>1666.666666666667</v>
      </c>
      <c r="I21">
        <v>0.5</v>
      </c>
      <c r="J21">
        <v>0.42857142857142849</v>
      </c>
      <c r="K21">
        <v>0.5</v>
      </c>
      <c r="L21">
        <f t="shared" si="2"/>
        <v>0.9285714285714286</v>
      </c>
      <c r="M21">
        <f t="shared" si="3"/>
        <v>0.9285714285714286</v>
      </c>
      <c r="N21">
        <v>1.428571428571429</v>
      </c>
      <c r="O21">
        <f t="shared" si="4"/>
        <v>0</v>
      </c>
      <c r="P21">
        <f t="shared" si="5"/>
        <v>0</v>
      </c>
      <c r="Q21">
        <f t="shared" si="6"/>
        <v>0</v>
      </c>
      <c r="R21">
        <f t="shared" si="7"/>
        <v>0</v>
      </c>
      <c r="S21">
        <f t="shared" si="8"/>
        <v>2.1428571428571352E-2</v>
      </c>
      <c r="T21">
        <f t="shared" si="9"/>
        <v>7.1428571428570953E-2</v>
      </c>
      <c r="U21">
        <f t="shared" si="10"/>
        <v>7.1428571428570953E-2</v>
      </c>
      <c r="V21">
        <f t="shared" si="11"/>
        <v>0</v>
      </c>
      <c r="W21">
        <f t="shared" si="12"/>
        <v>7.4573617920789162E-2</v>
      </c>
      <c r="X21">
        <v>0</v>
      </c>
      <c r="Y21">
        <v>48</v>
      </c>
      <c r="Z21">
        <v>4.8</v>
      </c>
      <c r="AA21">
        <v>64.8</v>
      </c>
      <c r="AB21">
        <v>1.8857142857143321</v>
      </c>
      <c r="AC21">
        <v>0</v>
      </c>
      <c r="AD21">
        <v>6.6857142857141696</v>
      </c>
      <c r="AE21">
        <v>0</v>
      </c>
      <c r="AF21">
        <v>8.5714285714283847</v>
      </c>
      <c r="AG21">
        <v>171.42857142857139</v>
      </c>
      <c r="AH21">
        <v>179.9999999999998</v>
      </c>
      <c r="AI21">
        <v>180</v>
      </c>
      <c r="AJ21">
        <v>0</v>
      </c>
      <c r="AK21">
        <v>0</v>
      </c>
      <c r="AL21">
        <v>13.371428571428339</v>
      </c>
      <c r="AM21">
        <v>0</v>
      </c>
      <c r="AN21">
        <v>3.7714285714286642</v>
      </c>
      <c r="AO21">
        <v>0</v>
      </c>
      <c r="AP21">
        <v>0</v>
      </c>
      <c r="AQ21">
        <v>0</v>
      </c>
    </row>
    <row r="22" spans="1:43" x14ac:dyDescent="0.2">
      <c r="A22">
        <v>312</v>
      </c>
      <c r="B22">
        <v>32.5</v>
      </c>
      <c r="C22">
        <v>583.33333333333337</v>
      </c>
      <c r="D22">
        <v>500</v>
      </c>
      <c r="E22">
        <v>583.33333333333337</v>
      </c>
      <c r="F22">
        <f t="shared" si="0"/>
        <v>1083.3333333333335</v>
      </c>
      <c r="G22">
        <f t="shared" si="1"/>
        <v>1083.3333333333335</v>
      </c>
      <c r="H22">
        <v>1666.666666666667</v>
      </c>
      <c r="I22">
        <v>0.53846153846153855</v>
      </c>
      <c r="J22">
        <v>0.46153846153846162</v>
      </c>
      <c r="K22">
        <v>0.53846153846153855</v>
      </c>
      <c r="L22">
        <f t="shared" si="2"/>
        <v>1.0000000000000002</v>
      </c>
      <c r="M22">
        <f t="shared" si="3"/>
        <v>1.0000000000000002</v>
      </c>
      <c r="N22">
        <v>1.538461538461539</v>
      </c>
      <c r="O22">
        <f t="shared" si="4"/>
        <v>0</v>
      </c>
      <c r="P22">
        <f t="shared" si="5"/>
        <v>0</v>
      </c>
      <c r="Q22">
        <f t="shared" si="6"/>
        <v>0</v>
      </c>
      <c r="R22">
        <f t="shared" si="7"/>
        <v>0</v>
      </c>
      <c r="S22">
        <f t="shared" si="8"/>
        <v>0</v>
      </c>
      <c r="T22">
        <f t="shared" si="9"/>
        <v>3.8461538461538991E-2</v>
      </c>
      <c r="U22">
        <f t="shared" si="10"/>
        <v>3.8461538461538991E-2</v>
      </c>
      <c r="V22">
        <f t="shared" si="11"/>
        <v>0</v>
      </c>
      <c r="W22">
        <f t="shared" si="12"/>
        <v>3.8461538461538991E-2</v>
      </c>
      <c r="X22">
        <v>0</v>
      </c>
      <c r="Y22">
        <v>46.8</v>
      </c>
      <c r="Z22">
        <v>96</v>
      </c>
      <c r="AA22">
        <v>58.8</v>
      </c>
      <c r="AB22">
        <v>0.24433136094687341</v>
      </c>
      <c r="AC22">
        <v>2.7648994082839229</v>
      </c>
      <c r="AD22">
        <v>1.0246153846153501</v>
      </c>
      <c r="AE22">
        <v>0.58153846153852806</v>
      </c>
      <c r="AF22">
        <v>4.6153846153845137</v>
      </c>
      <c r="AG22">
        <v>184.61538461538461</v>
      </c>
      <c r="AH22">
        <v>189.2307692307692</v>
      </c>
      <c r="AI22">
        <v>180</v>
      </c>
      <c r="AJ22">
        <v>0</v>
      </c>
      <c r="AK22">
        <v>4.6523076923074971</v>
      </c>
      <c r="AL22">
        <v>0</v>
      </c>
      <c r="AM22">
        <v>1.1630769230770559</v>
      </c>
      <c r="AN22">
        <v>0.48866272189374688</v>
      </c>
      <c r="AO22">
        <v>0.87749112426034925</v>
      </c>
      <c r="AP22">
        <v>2.0492307692307001</v>
      </c>
      <c r="AQ22">
        <v>0</v>
      </c>
    </row>
    <row r="23" spans="1:43" x14ac:dyDescent="0.2">
      <c r="A23">
        <v>312</v>
      </c>
      <c r="B23">
        <v>30</v>
      </c>
      <c r="C23">
        <v>583.33333333333337</v>
      </c>
      <c r="D23">
        <v>500</v>
      </c>
      <c r="E23">
        <v>583.33333333333337</v>
      </c>
      <c r="F23">
        <f t="shared" si="0"/>
        <v>1083.3333333333335</v>
      </c>
      <c r="G23">
        <f t="shared" si="1"/>
        <v>1083.3333333333335</v>
      </c>
      <c r="H23">
        <v>1666.666666666667</v>
      </c>
      <c r="I23">
        <v>0.58333333333333337</v>
      </c>
      <c r="J23">
        <v>0.5</v>
      </c>
      <c r="K23">
        <v>0.58333333333333337</v>
      </c>
      <c r="L23">
        <f t="shared" si="2"/>
        <v>1.0833333333333335</v>
      </c>
      <c r="M23">
        <f t="shared" si="3"/>
        <v>1.0833333333333335</v>
      </c>
      <c r="N23">
        <v>1.666666666666667</v>
      </c>
      <c r="O23">
        <f t="shared" si="4"/>
        <v>3.3333333333333326E-2</v>
      </c>
      <c r="P23">
        <f t="shared" si="5"/>
        <v>0</v>
      </c>
      <c r="Q23">
        <f t="shared" si="6"/>
        <v>0</v>
      </c>
      <c r="R23">
        <f t="shared" si="7"/>
        <v>0</v>
      </c>
      <c r="S23">
        <f t="shared" si="8"/>
        <v>3.3333333333333479E-2</v>
      </c>
      <c r="T23">
        <f t="shared" si="9"/>
        <v>0.16666666666666696</v>
      </c>
      <c r="U23">
        <f t="shared" si="10"/>
        <v>0.16996731711975979</v>
      </c>
      <c r="V23">
        <f t="shared" si="11"/>
        <v>3.3333333333333326E-2</v>
      </c>
      <c r="W23">
        <f t="shared" si="12"/>
        <v>0.16996731711975982</v>
      </c>
      <c r="X23">
        <v>0</v>
      </c>
      <c r="Y23">
        <v>45.6</v>
      </c>
      <c r="Z23">
        <v>93.6</v>
      </c>
      <c r="AA23">
        <v>67.2</v>
      </c>
      <c r="AB23">
        <v>5.7600000000000966</v>
      </c>
      <c r="AC23">
        <v>6.9200000000000328</v>
      </c>
      <c r="AD23">
        <v>5.8799999999999679</v>
      </c>
      <c r="AE23">
        <v>1.4400000000000239</v>
      </c>
      <c r="AF23">
        <v>19.999999999999801</v>
      </c>
      <c r="AG23">
        <v>200</v>
      </c>
      <c r="AH23">
        <v>219.9999999999998</v>
      </c>
      <c r="AI23">
        <v>180</v>
      </c>
      <c r="AJ23">
        <v>0</v>
      </c>
      <c r="AK23">
        <v>9.9200000000001136</v>
      </c>
      <c r="AL23">
        <v>0</v>
      </c>
      <c r="AM23">
        <v>2.8800000000000479</v>
      </c>
      <c r="AN23">
        <v>11.52000000000019</v>
      </c>
      <c r="AO23">
        <v>3.919999999999952</v>
      </c>
      <c r="AP23">
        <v>11.759999999999939</v>
      </c>
      <c r="AQ23">
        <v>0</v>
      </c>
    </row>
    <row r="24" spans="1:43" x14ac:dyDescent="0.2">
      <c r="A24">
        <v>312</v>
      </c>
      <c r="B24">
        <v>27.5</v>
      </c>
      <c r="C24">
        <v>583.33333333333337</v>
      </c>
      <c r="D24">
        <v>500</v>
      </c>
      <c r="E24">
        <v>583.33333333333337</v>
      </c>
      <c r="F24">
        <f t="shared" si="0"/>
        <v>1083.3333333333335</v>
      </c>
      <c r="G24">
        <f t="shared" si="1"/>
        <v>1083.3333333333335</v>
      </c>
      <c r="H24">
        <v>1666.666666666667</v>
      </c>
      <c r="I24">
        <v>0.63636363636363646</v>
      </c>
      <c r="J24">
        <v>0.54545454545454553</v>
      </c>
      <c r="K24">
        <v>0.63636363636363646</v>
      </c>
      <c r="L24">
        <f t="shared" si="2"/>
        <v>1.1818181818181821</v>
      </c>
      <c r="M24">
        <f t="shared" si="3"/>
        <v>1.1818181818181821</v>
      </c>
      <c r="N24">
        <v>1.818181818181819</v>
      </c>
      <c r="O24">
        <f t="shared" si="4"/>
        <v>8.636363636363642E-2</v>
      </c>
      <c r="P24">
        <f t="shared" si="5"/>
        <v>0</v>
      </c>
      <c r="Q24">
        <f t="shared" si="6"/>
        <v>3.6363636363636487E-2</v>
      </c>
      <c r="R24">
        <f t="shared" si="7"/>
        <v>8.1818181818182095E-2</v>
      </c>
      <c r="S24">
        <f t="shared" si="8"/>
        <v>0.13181818181818211</v>
      </c>
      <c r="T24">
        <f t="shared" si="9"/>
        <v>0.18181818181818099</v>
      </c>
      <c r="U24">
        <f t="shared" si="10"/>
        <v>0.2012871802316768</v>
      </c>
      <c r="V24">
        <f t="shared" si="11"/>
        <v>9.3706946036765118E-2</v>
      </c>
      <c r="W24">
        <f t="shared" si="12"/>
        <v>0.23901485136608883</v>
      </c>
      <c r="X24">
        <v>0</v>
      </c>
      <c r="Y24">
        <v>63.599999999999987</v>
      </c>
      <c r="Z24">
        <v>0</v>
      </c>
      <c r="AA24">
        <v>97.2</v>
      </c>
      <c r="AB24">
        <v>8.3236363636365347</v>
      </c>
      <c r="AC24">
        <v>8.8036363636362598</v>
      </c>
      <c r="AD24">
        <v>8.8690909090908665</v>
      </c>
      <c r="AE24">
        <v>0.18545454545467999</v>
      </c>
      <c r="AF24">
        <v>26.181818181818119</v>
      </c>
      <c r="AG24">
        <v>218.18181818181819</v>
      </c>
      <c r="AH24">
        <v>244.36363636363629</v>
      </c>
      <c r="AI24">
        <v>180</v>
      </c>
      <c r="AJ24">
        <v>0</v>
      </c>
      <c r="AK24">
        <v>0.6109090909088587</v>
      </c>
      <c r="AL24">
        <v>0</v>
      </c>
      <c r="AM24">
        <v>0.37090909090935992</v>
      </c>
      <c r="AN24">
        <v>16.647272727273069</v>
      </c>
      <c r="AO24">
        <v>16.996363636363661</v>
      </c>
      <c r="AP24">
        <v>17.738181818181729</v>
      </c>
      <c r="AQ24">
        <v>0</v>
      </c>
    </row>
    <row r="25" spans="1:43" x14ac:dyDescent="0.2">
      <c r="A25">
        <v>312</v>
      </c>
      <c r="B25">
        <v>25</v>
      </c>
      <c r="C25">
        <v>583.33333333333337</v>
      </c>
      <c r="D25">
        <v>500</v>
      </c>
      <c r="E25">
        <v>583.33333333333337</v>
      </c>
      <c r="F25">
        <f t="shared" si="0"/>
        <v>1083.3333333333335</v>
      </c>
      <c r="G25">
        <f t="shared" si="1"/>
        <v>1083.3333333333335</v>
      </c>
      <c r="H25">
        <v>1666.666666666667</v>
      </c>
      <c r="I25">
        <v>0.70000000000000007</v>
      </c>
      <c r="J25">
        <v>0.6</v>
      </c>
      <c r="K25">
        <v>0.70000000000000007</v>
      </c>
      <c r="L25">
        <f t="shared" si="2"/>
        <v>1.3</v>
      </c>
      <c r="M25">
        <f t="shared" si="3"/>
        <v>1.3</v>
      </c>
      <c r="N25">
        <v>2</v>
      </c>
      <c r="O25">
        <f t="shared" si="4"/>
        <v>0.15000000000000002</v>
      </c>
      <c r="P25">
        <f t="shared" si="5"/>
        <v>0</v>
      </c>
      <c r="Q25">
        <f t="shared" si="6"/>
        <v>0.10000000000000009</v>
      </c>
      <c r="R25">
        <f t="shared" si="7"/>
        <v>9.9999999999999978E-2</v>
      </c>
      <c r="S25">
        <f t="shared" si="8"/>
        <v>0.14999999999999997</v>
      </c>
      <c r="T25">
        <f t="shared" si="9"/>
        <v>0</v>
      </c>
      <c r="U25">
        <f t="shared" si="10"/>
        <v>0.15000000000000002</v>
      </c>
      <c r="V25">
        <f t="shared" si="11"/>
        <v>0.18027756377319953</v>
      </c>
      <c r="W25">
        <f t="shared" si="12"/>
        <v>0.18027756377319942</v>
      </c>
      <c r="X25">
        <v>0</v>
      </c>
      <c r="Y25">
        <v>70.8</v>
      </c>
      <c r="Z25">
        <v>33.6</v>
      </c>
      <c r="AA25">
        <v>118.8</v>
      </c>
      <c r="AB25">
        <v>17.399999999999999</v>
      </c>
      <c r="AC25">
        <v>10.91999999999995</v>
      </c>
      <c r="AD25">
        <v>7.6679999999998678</v>
      </c>
      <c r="AE25">
        <v>1.1999999999736451E-2</v>
      </c>
      <c r="AF25">
        <v>35.999999999999432</v>
      </c>
      <c r="AG25">
        <v>240</v>
      </c>
      <c r="AH25">
        <v>275.99999999999937</v>
      </c>
      <c r="AI25">
        <v>180</v>
      </c>
      <c r="AJ25">
        <v>0</v>
      </c>
      <c r="AK25">
        <v>0.95999999999993535</v>
      </c>
      <c r="AL25">
        <v>0.21599999999986419</v>
      </c>
      <c r="AM25">
        <v>2.3999999999472901E-2</v>
      </c>
      <c r="AN25">
        <v>34.799999999999997</v>
      </c>
      <c r="AO25">
        <v>20.879999999999971</v>
      </c>
      <c r="AP25">
        <v>15.11999999999987</v>
      </c>
      <c r="AQ25">
        <v>0</v>
      </c>
    </row>
    <row r="26" spans="1:43" x14ac:dyDescent="0.2">
      <c r="A26">
        <v>312</v>
      </c>
      <c r="B26">
        <v>22.5</v>
      </c>
      <c r="C26">
        <v>583.33333333333337</v>
      </c>
      <c r="D26">
        <v>500</v>
      </c>
      <c r="E26">
        <v>583.33333333333337</v>
      </c>
      <c r="F26">
        <f t="shared" si="0"/>
        <v>1083.3333333333335</v>
      </c>
      <c r="G26">
        <f t="shared" si="1"/>
        <v>1083.3333333333335</v>
      </c>
      <c r="H26">
        <v>1666.666666666667</v>
      </c>
      <c r="I26">
        <v>0.77777777777777779</v>
      </c>
      <c r="J26">
        <v>0.66666666666666663</v>
      </c>
      <c r="K26">
        <v>0.77777777777777779</v>
      </c>
      <c r="L26">
        <f t="shared" si="2"/>
        <v>1.4444444444444446</v>
      </c>
      <c r="M26">
        <f t="shared" si="3"/>
        <v>1.4444444444444446</v>
      </c>
      <c r="N26">
        <v>2.2222222222222219</v>
      </c>
      <c r="O26">
        <f t="shared" si="4"/>
        <v>0.17222222222222217</v>
      </c>
      <c r="P26">
        <f t="shared" si="5"/>
        <v>1.6666666666666607E-2</v>
      </c>
      <c r="Q26">
        <f t="shared" si="6"/>
        <v>0.12222222222222223</v>
      </c>
      <c r="R26">
        <f t="shared" si="7"/>
        <v>0</v>
      </c>
      <c r="S26">
        <f t="shared" si="8"/>
        <v>5.5555555555553693E-3</v>
      </c>
      <c r="T26">
        <f t="shared" si="9"/>
        <v>0.22222222222222188</v>
      </c>
      <c r="U26">
        <f t="shared" si="10"/>
        <v>0.28114624286399958</v>
      </c>
      <c r="V26">
        <f t="shared" si="11"/>
        <v>0.21184084405486239</v>
      </c>
      <c r="W26">
        <f t="shared" si="12"/>
        <v>0.22229165581936139</v>
      </c>
      <c r="X26">
        <v>0</v>
      </c>
      <c r="Y26">
        <v>1.2</v>
      </c>
      <c r="Z26">
        <v>54</v>
      </c>
      <c r="AA26">
        <v>76.8</v>
      </c>
      <c r="AB26">
        <v>6.813333333333139</v>
      </c>
      <c r="AC26">
        <v>14.253333333333121</v>
      </c>
      <c r="AD26">
        <v>2.8933333333332691</v>
      </c>
      <c r="AE26">
        <v>13.37333333333352</v>
      </c>
      <c r="AF26">
        <v>37.333333333332938</v>
      </c>
      <c r="AG26">
        <v>266.66666666666669</v>
      </c>
      <c r="AH26">
        <v>303.99999999999972</v>
      </c>
      <c r="AI26">
        <v>180</v>
      </c>
      <c r="AJ26">
        <v>0</v>
      </c>
      <c r="AK26">
        <v>27.866666666666429</v>
      </c>
      <c r="AL26">
        <v>1.9199999999998709</v>
      </c>
      <c r="AM26">
        <v>26.746666666667039</v>
      </c>
      <c r="AN26">
        <v>13.62666666666628</v>
      </c>
      <c r="AO26">
        <v>0.63999999999982216</v>
      </c>
      <c r="AP26">
        <v>3.8666666666666671</v>
      </c>
      <c r="AQ26">
        <v>0</v>
      </c>
    </row>
    <row r="27" spans="1:43" x14ac:dyDescent="0.2">
      <c r="A27">
        <v>312</v>
      </c>
      <c r="B27">
        <v>20</v>
      </c>
      <c r="C27">
        <v>583.33333333333337</v>
      </c>
      <c r="D27">
        <v>500</v>
      </c>
      <c r="E27">
        <v>583.33333333333337</v>
      </c>
      <c r="F27">
        <f t="shared" si="0"/>
        <v>1083.3333333333335</v>
      </c>
      <c r="G27">
        <f t="shared" si="1"/>
        <v>1083.3333333333335</v>
      </c>
      <c r="H27">
        <v>1666.666666666667</v>
      </c>
      <c r="I27">
        <v>0.87500000000000011</v>
      </c>
      <c r="J27">
        <v>0.75</v>
      </c>
      <c r="K27">
        <v>0.87500000000000011</v>
      </c>
      <c r="L27">
        <f t="shared" si="2"/>
        <v>1.6250000000000002</v>
      </c>
      <c r="M27">
        <f t="shared" si="3"/>
        <v>1.6250000000000002</v>
      </c>
      <c r="N27">
        <v>2.5</v>
      </c>
      <c r="O27">
        <f t="shared" si="4"/>
        <v>7.4999999999999845E-2</v>
      </c>
      <c r="P27">
        <f t="shared" si="5"/>
        <v>9.9999999999999978E-2</v>
      </c>
      <c r="Q27">
        <f t="shared" si="6"/>
        <v>2.4999999999999911E-2</v>
      </c>
      <c r="R27">
        <f t="shared" si="7"/>
        <v>2.5000000000000244E-2</v>
      </c>
      <c r="S27">
        <f t="shared" si="8"/>
        <v>7.5000000000000178E-2</v>
      </c>
      <c r="T27">
        <f t="shared" si="9"/>
        <v>0</v>
      </c>
      <c r="U27">
        <f t="shared" si="10"/>
        <v>7.4999999999999845E-2</v>
      </c>
      <c r="V27">
        <f t="shared" si="11"/>
        <v>0.12747548783981949</v>
      </c>
      <c r="W27">
        <f t="shared" si="12"/>
        <v>7.9056941504209721E-2</v>
      </c>
      <c r="X27">
        <v>0</v>
      </c>
      <c r="Y27">
        <v>1.2</v>
      </c>
      <c r="Z27">
        <v>52.8</v>
      </c>
      <c r="AA27">
        <v>62.4</v>
      </c>
      <c r="AB27">
        <v>1.859999999999935</v>
      </c>
      <c r="AC27">
        <v>11.939999999999941</v>
      </c>
      <c r="AD27">
        <v>7.0200000000000324</v>
      </c>
      <c r="AE27">
        <v>3.1799999999999269</v>
      </c>
      <c r="AF27">
        <v>23.999999999999631</v>
      </c>
      <c r="AG27">
        <v>300</v>
      </c>
      <c r="AH27">
        <v>323.99999999999972</v>
      </c>
      <c r="AI27">
        <v>180</v>
      </c>
      <c r="AJ27">
        <v>0</v>
      </c>
      <c r="AK27">
        <v>16.2</v>
      </c>
      <c r="AL27">
        <v>8.6400000000000645</v>
      </c>
      <c r="AM27">
        <v>6.3599999999998547</v>
      </c>
      <c r="AN27">
        <v>3.719999999999871</v>
      </c>
      <c r="AO27">
        <v>7.6799999999998869</v>
      </c>
      <c r="AP27">
        <v>5.4</v>
      </c>
      <c r="AQ27">
        <v>0</v>
      </c>
    </row>
    <row r="28" spans="1:43" x14ac:dyDescent="0.2">
      <c r="A28">
        <v>313</v>
      </c>
      <c r="B28">
        <v>50</v>
      </c>
      <c r="C28">
        <v>750</v>
      </c>
      <c r="D28">
        <v>500</v>
      </c>
      <c r="E28">
        <v>750</v>
      </c>
      <c r="F28">
        <f t="shared" si="0"/>
        <v>1250</v>
      </c>
      <c r="G28">
        <f t="shared" si="1"/>
        <v>1250</v>
      </c>
      <c r="H28">
        <v>2000</v>
      </c>
      <c r="I28">
        <v>0.45</v>
      </c>
      <c r="J28">
        <v>0.3</v>
      </c>
      <c r="K28">
        <v>0.45</v>
      </c>
      <c r="L28">
        <f t="shared" si="2"/>
        <v>0.75</v>
      </c>
      <c r="M28">
        <f t="shared" si="3"/>
        <v>0.75</v>
      </c>
      <c r="N28">
        <v>1.2</v>
      </c>
      <c r="O28">
        <f t="shared" si="4"/>
        <v>0</v>
      </c>
      <c r="P28">
        <f t="shared" si="5"/>
        <v>4.9999999999999989E-2</v>
      </c>
      <c r="Q28">
        <f t="shared" si="6"/>
        <v>0</v>
      </c>
      <c r="R28">
        <f t="shared" si="7"/>
        <v>0.15000000000000002</v>
      </c>
      <c r="S28">
        <f t="shared" si="8"/>
        <v>0.19999999999999996</v>
      </c>
      <c r="T28">
        <f t="shared" si="9"/>
        <v>0.19999999999999996</v>
      </c>
      <c r="U28">
        <f t="shared" si="10"/>
        <v>0.19999999999999996</v>
      </c>
      <c r="V28">
        <f t="shared" si="11"/>
        <v>4.9999999999999989E-2</v>
      </c>
      <c r="W28">
        <f t="shared" si="12"/>
        <v>0.32015621187164239</v>
      </c>
      <c r="X28">
        <v>0</v>
      </c>
      <c r="Y28">
        <v>54</v>
      </c>
      <c r="Z28">
        <v>40.799999999999997</v>
      </c>
      <c r="AA28">
        <v>118.8</v>
      </c>
      <c r="AB28">
        <v>2.2799999999999678</v>
      </c>
      <c r="AC28">
        <v>9.1199999999998713</v>
      </c>
      <c r="AD28">
        <v>7.5599999999999756</v>
      </c>
      <c r="AE28">
        <v>5.039999999999984</v>
      </c>
      <c r="AF28">
        <v>23.999999999999911</v>
      </c>
      <c r="AG28">
        <v>144</v>
      </c>
      <c r="AH28">
        <v>167.99999999999989</v>
      </c>
      <c r="AI28">
        <v>180</v>
      </c>
      <c r="AJ28">
        <v>0</v>
      </c>
      <c r="AK28">
        <v>0</v>
      </c>
      <c r="AL28">
        <v>15.119999999999949</v>
      </c>
      <c r="AM28">
        <v>10.07999999999997</v>
      </c>
      <c r="AN28">
        <v>4.5599999999999357</v>
      </c>
      <c r="AO28">
        <v>18.239999999999739</v>
      </c>
      <c r="AP28">
        <v>0</v>
      </c>
      <c r="AQ28">
        <v>0</v>
      </c>
    </row>
    <row r="29" spans="1:43" x14ac:dyDescent="0.2">
      <c r="A29">
        <v>313</v>
      </c>
      <c r="B29">
        <v>47.5</v>
      </c>
      <c r="C29">
        <v>750</v>
      </c>
      <c r="D29">
        <v>500</v>
      </c>
      <c r="E29">
        <v>750</v>
      </c>
      <c r="F29">
        <f t="shared" si="0"/>
        <v>1250</v>
      </c>
      <c r="G29">
        <f t="shared" si="1"/>
        <v>1250</v>
      </c>
      <c r="H29">
        <v>2000</v>
      </c>
      <c r="I29">
        <v>0.47368421052631582</v>
      </c>
      <c r="J29">
        <v>0.31578947368421062</v>
      </c>
      <c r="K29">
        <v>0.47368421052631582</v>
      </c>
      <c r="L29">
        <f t="shared" si="2"/>
        <v>0.78947368421052633</v>
      </c>
      <c r="M29">
        <f t="shared" si="3"/>
        <v>0.78947368421052633</v>
      </c>
      <c r="N29">
        <v>1.263157894736842</v>
      </c>
      <c r="O29">
        <f t="shared" si="4"/>
        <v>0</v>
      </c>
      <c r="P29">
        <f t="shared" si="5"/>
        <v>3.4210526315789358E-2</v>
      </c>
      <c r="Q29">
        <f t="shared" si="6"/>
        <v>0</v>
      </c>
      <c r="R29">
        <f t="shared" si="7"/>
        <v>0.11052631578947369</v>
      </c>
      <c r="S29">
        <f t="shared" si="8"/>
        <v>0.16052631578947363</v>
      </c>
      <c r="T29">
        <f t="shared" si="9"/>
        <v>0.23684210526315796</v>
      </c>
      <c r="U29">
        <f t="shared" si="10"/>
        <v>0.23684210526315796</v>
      </c>
      <c r="V29">
        <f t="shared" si="11"/>
        <v>3.4210526315789358E-2</v>
      </c>
      <c r="W29">
        <f t="shared" si="12"/>
        <v>0.30672291627529408</v>
      </c>
      <c r="X29">
        <v>0</v>
      </c>
      <c r="Y29">
        <v>43.2</v>
      </c>
      <c r="Z29">
        <v>0</v>
      </c>
      <c r="AA29">
        <v>80.399999999999991</v>
      </c>
      <c r="AB29">
        <v>4.0105263157896438</v>
      </c>
      <c r="AC29">
        <v>0.65684210526305831</v>
      </c>
      <c r="AD29">
        <v>12.28587257617732</v>
      </c>
      <c r="AE29">
        <v>11.467811634349101</v>
      </c>
      <c r="AF29">
        <v>28.421052631578959</v>
      </c>
      <c r="AG29">
        <v>151.57894736842101</v>
      </c>
      <c r="AH29">
        <v>180</v>
      </c>
      <c r="AI29">
        <v>180</v>
      </c>
      <c r="AJ29">
        <v>0</v>
      </c>
      <c r="AK29">
        <v>1.3136842105261171</v>
      </c>
      <c r="AL29">
        <v>24.571745152354641</v>
      </c>
      <c r="AM29">
        <v>22.935623268698201</v>
      </c>
      <c r="AN29">
        <v>8.0210526315792876</v>
      </c>
      <c r="AO29">
        <v>0</v>
      </c>
      <c r="AP29">
        <v>0</v>
      </c>
      <c r="AQ29">
        <v>0</v>
      </c>
    </row>
    <row r="30" spans="1:43" x14ac:dyDescent="0.2">
      <c r="A30">
        <v>313</v>
      </c>
      <c r="B30">
        <v>45</v>
      </c>
      <c r="C30">
        <v>750</v>
      </c>
      <c r="D30">
        <v>500</v>
      </c>
      <c r="E30">
        <v>750</v>
      </c>
      <c r="F30">
        <f t="shared" si="0"/>
        <v>1250</v>
      </c>
      <c r="G30">
        <f t="shared" si="1"/>
        <v>1250</v>
      </c>
      <c r="H30">
        <v>2000</v>
      </c>
      <c r="I30">
        <v>0.5</v>
      </c>
      <c r="J30">
        <v>0.33333333333333331</v>
      </c>
      <c r="K30">
        <v>0.5</v>
      </c>
      <c r="L30">
        <f t="shared" si="2"/>
        <v>0.83333333333333337</v>
      </c>
      <c r="M30">
        <f t="shared" si="3"/>
        <v>0.83333333333333337</v>
      </c>
      <c r="N30">
        <v>1.333333333333333</v>
      </c>
      <c r="O30">
        <f t="shared" si="4"/>
        <v>0</v>
      </c>
      <c r="P30">
        <f t="shared" si="5"/>
        <v>1.6666666666666663E-2</v>
      </c>
      <c r="Q30">
        <f t="shared" si="6"/>
        <v>0</v>
      </c>
      <c r="R30">
        <f t="shared" si="7"/>
        <v>6.6666666666666652E-2</v>
      </c>
      <c r="S30">
        <f t="shared" si="8"/>
        <v>0.11666666666666659</v>
      </c>
      <c r="T30">
        <f t="shared" si="9"/>
        <v>0.16666666666666696</v>
      </c>
      <c r="U30">
        <f t="shared" si="10"/>
        <v>0.16666666666666696</v>
      </c>
      <c r="V30">
        <f t="shared" si="11"/>
        <v>1.6666666666666663E-2</v>
      </c>
      <c r="W30">
        <f t="shared" si="12"/>
        <v>0.21408720964441899</v>
      </c>
      <c r="X30">
        <v>0</v>
      </c>
      <c r="Y30">
        <v>60</v>
      </c>
      <c r="Z30">
        <v>19.2</v>
      </c>
      <c r="AA30">
        <v>76.8</v>
      </c>
      <c r="AB30">
        <v>0</v>
      </c>
      <c r="AC30">
        <v>0.4</v>
      </c>
      <c r="AD30">
        <v>18.239999999999981</v>
      </c>
      <c r="AE30">
        <v>1.3600000000000161</v>
      </c>
      <c r="AF30">
        <v>19.999999999999801</v>
      </c>
      <c r="AG30">
        <v>160</v>
      </c>
      <c r="AH30">
        <v>179.9999999999998</v>
      </c>
      <c r="AI30">
        <v>180</v>
      </c>
      <c r="AJ30">
        <v>0</v>
      </c>
      <c r="AK30">
        <v>0</v>
      </c>
      <c r="AL30">
        <v>34.07999999999997</v>
      </c>
      <c r="AM30">
        <v>2.7200000000000322</v>
      </c>
      <c r="AN30">
        <v>0</v>
      </c>
      <c r="AO30">
        <v>0.8</v>
      </c>
      <c r="AP30">
        <v>2.4</v>
      </c>
      <c r="AQ30">
        <v>0</v>
      </c>
    </row>
    <row r="31" spans="1:43" x14ac:dyDescent="0.2">
      <c r="A31">
        <v>313</v>
      </c>
      <c r="B31">
        <v>42.5</v>
      </c>
      <c r="C31">
        <v>750</v>
      </c>
      <c r="D31">
        <v>500</v>
      </c>
      <c r="E31">
        <v>750</v>
      </c>
      <c r="F31">
        <f t="shared" si="0"/>
        <v>1250</v>
      </c>
      <c r="G31">
        <f t="shared" si="1"/>
        <v>1250</v>
      </c>
      <c r="H31">
        <v>2000</v>
      </c>
      <c r="I31">
        <v>0.52941176470588236</v>
      </c>
      <c r="J31">
        <v>0.3529411764705882</v>
      </c>
      <c r="K31">
        <v>0.52941176470588236</v>
      </c>
      <c r="L31">
        <f t="shared" si="2"/>
        <v>0.88235294117647056</v>
      </c>
      <c r="M31">
        <f t="shared" si="3"/>
        <v>0.88235294117647056</v>
      </c>
      <c r="N31">
        <v>1.411764705882353</v>
      </c>
      <c r="O31">
        <f t="shared" si="4"/>
        <v>0</v>
      </c>
      <c r="P31">
        <f t="shared" si="5"/>
        <v>0</v>
      </c>
      <c r="Q31">
        <f t="shared" si="6"/>
        <v>0</v>
      </c>
      <c r="R31">
        <f t="shared" si="7"/>
        <v>1.764705882352946E-2</v>
      </c>
      <c r="S31">
        <f t="shared" si="8"/>
        <v>6.7647058823529393E-2</v>
      </c>
      <c r="T31">
        <f t="shared" si="9"/>
        <v>8.8235294117646967E-2</v>
      </c>
      <c r="U31">
        <f t="shared" si="10"/>
        <v>8.8235294117646967E-2</v>
      </c>
      <c r="V31">
        <f t="shared" si="11"/>
        <v>0</v>
      </c>
      <c r="W31">
        <f t="shared" si="12"/>
        <v>0.11257446593532132</v>
      </c>
      <c r="X31">
        <v>0</v>
      </c>
      <c r="Y31">
        <v>51.6</v>
      </c>
      <c r="Z31">
        <v>0</v>
      </c>
      <c r="AA31">
        <v>63.599999999999987</v>
      </c>
      <c r="AB31">
        <v>2.435294117647087</v>
      </c>
      <c r="AC31">
        <v>1.058823529411772</v>
      </c>
      <c r="AD31">
        <v>7.0588235294117716</v>
      </c>
      <c r="AE31">
        <v>3.5294117647087363E-2</v>
      </c>
      <c r="AF31">
        <v>10.58823529411765</v>
      </c>
      <c r="AG31">
        <v>169.41176470588229</v>
      </c>
      <c r="AH31">
        <v>180</v>
      </c>
      <c r="AI31">
        <v>180</v>
      </c>
      <c r="AJ31">
        <v>0</v>
      </c>
      <c r="AK31">
        <v>0</v>
      </c>
      <c r="AL31">
        <v>14.11764705882354</v>
      </c>
      <c r="AM31">
        <v>7.0588235294174712E-2</v>
      </c>
      <c r="AN31">
        <v>4.870588235294175</v>
      </c>
      <c r="AO31">
        <v>2.1176470588235441</v>
      </c>
      <c r="AP31">
        <v>0</v>
      </c>
      <c r="AQ31">
        <v>0</v>
      </c>
    </row>
    <row r="32" spans="1:43" x14ac:dyDescent="0.2">
      <c r="A32">
        <v>313</v>
      </c>
      <c r="B32">
        <v>40</v>
      </c>
      <c r="C32">
        <v>750</v>
      </c>
      <c r="D32">
        <v>500</v>
      </c>
      <c r="E32">
        <v>750</v>
      </c>
      <c r="F32">
        <f t="shared" si="0"/>
        <v>1250</v>
      </c>
      <c r="G32">
        <f t="shared" si="1"/>
        <v>1250</v>
      </c>
      <c r="H32">
        <v>2000</v>
      </c>
      <c r="I32">
        <v>0.5625</v>
      </c>
      <c r="J32">
        <v>0.375</v>
      </c>
      <c r="K32">
        <v>0.5625</v>
      </c>
      <c r="L32">
        <f t="shared" si="2"/>
        <v>0.9375</v>
      </c>
      <c r="M32">
        <f t="shared" si="3"/>
        <v>0.9375</v>
      </c>
      <c r="N32">
        <v>1.5</v>
      </c>
      <c r="O32">
        <f t="shared" si="4"/>
        <v>1.2499999999999956E-2</v>
      </c>
      <c r="P32">
        <f t="shared" si="5"/>
        <v>0</v>
      </c>
      <c r="Q32">
        <f t="shared" si="6"/>
        <v>0</v>
      </c>
      <c r="R32">
        <f t="shared" si="7"/>
        <v>0</v>
      </c>
      <c r="S32">
        <f t="shared" si="8"/>
        <v>1.2499999999999956E-2</v>
      </c>
      <c r="T32">
        <f t="shared" si="9"/>
        <v>0</v>
      </c>
      <c r="U32">
        <f t="shared" si="10"/>
        <v>1.2499999999999956E-2</v>
      </c>
      <c r="V32">
        <f t="shared" si="11"/>
        <v>1.2499999999999956E-2</v>
      </c>
      <c r="W32">
        <f t="shared" si="12"/>
        <v>1.2499999999999956E-2</v>
      </c>
      <c r="X32">
        <v>0</v>
      </c>
      <c r="Y32">
        <v>52.8</v>
      </c>
      <c r="Z32">
        <v>103.2</v>
      </c>
      <c r="AA32">
        <v>58.8</v>
      </c>
      <c r="AB32">
        <v>0.14999999999991909</v>
      </c>
      <c r="AC32">
        <v>1.8299999999999681</v>
      </c>
      <c r="AD32">
        <v>0.1215000000000146</v>
      </c>
      <c r="AE32">
        <v>0.89850000000001784</v>
      </c>
      <c r="AF32">
        <v>2.999999999999801</v>
      </c>
      <c r="AG32">
        <v>180</v>
      </c>
      <c r="AH32">
        <v>182.9999999999998</v>
      </c>
      <c r="AI32">
        <v>180</v>
      </c>
      <c r="AJ32">
        <v>0</v>
      </c>
      <c r="AK32">
        <v>2.1599999999999349</v>
      </c>
      <c r="AL32">
        <v>0.24300000000002911</v>
      </c>
      <c r="AM32">
        <v>1.7970000000000359</v>
      </c>
      <c r="AN32">
        <v>0.29999999999983828</v>
      </c>
      <c r="AO32">
        <v>1.5</v>
      </c>
      <c r="AP32">
        <v>0</v>
      </c>
      <c r="AQ32">
        <v>0</v>
      </c>
    </row>
    <row r="33" spans="1:43" x14ac:dyDescent="0.2">
      <c r="A33">
        <v>313</v>
      </c>
      <c r="B33">
        <v>37.5</v>
      </c>
      <c r="C33">
        <v>750</v>
      </c>
      <c r="D33">
        <v>500</v>
      </c>
      <c r="E33">
        <v>750</v>
      </c>
      <c r="F33">
        <f t="shared" si="0"/>
        <v>1250</v>
      </c>
      <c r="G33">
        <f t="shared" si="1"/>
        <v>1250</v>
      </c>
      <c r="H33">
        <v>2000</v>
      </c>
      <c r="I33">
        <v>0.6</v>
      </c>
      <c r="J33">
        <v>0.4</v>
      </c>
      <c r="K33">
        <v>0.6</v>
      </c>
      <c r="L33">
        <f t="shared" si="2"/>
        <v>1</v>
      </c>
      <c r="M33">
        <f t="shared" si="3"/>
        <v>1</v>
      </c>
      <c r="N33">
        <v>1.6</v>
      </c>
      <c r="O33">
        <f t="shared" si="4"/>
        <v>4.9999999999999933E-2</v>
      </c>
      <c r="P33">
        <f t="shared" si="5"/>
        <v>0</v>
      </c>
      <c r="Q33">
        <f t="shared" si="6"/>
        <v>0</v>
      </c>
      <c r="R33">
        <f t="shared" si="7"/>
        <v>0</v>
      </c>
      <c r="S33">
        <f t="shared" si="8"/>
        <v>0</v>
      </c>
      <c r="T33">
        <f t="shared" si="9"/>
        <v>0.10000000000000009</v>
      </c>
      <c r="U33">
        <f t="shared" si="10"/>
        <v>0.11180339887498954</v>
      </c>
      <c r="V33">
        <f t="shared" si="11"/>
        <v>4.9999999999999933E-2</v>
      </c>
      <c r="W33">
        <f t="shared" si="12"/>
        <v>0.10000000000000009</v>
      </c>
      <c r="X33">
        <v>0</v>
      </c>
      <c r="Y33">
        <v>58.8</v>
      </c>
      <c r="Z33">
        <v>117.6</v>
      </c>
      <c r="AA33">
        <v>70.8</v>
      </c>
      <c r="AB33">
        <v>10.90800000000001</v>
      </c>
      <c r="AC33">
        <v>0.61199999999997901</v>
      </c>
      <c r="AD33">
        <v>0.46799999999994818</v>
      </c>
      <c r="AE33">
        <v>1.199999999977687E-2</v>
      </c>
      <c r="AF33">
        <v>11.999999999999471</v>
      </c>
      <c r="AG33">
        <v>192</v>
      </c>
      <c r="AH33">
        <v>203.99999999999949</v>
      </c>
      <c r="AI33">
        <v>180</v>
      </c>
      <c r="AJ33">
        <v>0</v>
      </c>
      <c r="AK33">
        <v>0.96000000000001617</v>
      </c>
      <c r="AL33">
        <v>0.21599999999994501</v>
      </c>
      <c r="AM33">
        <v>2.3999999999553739E-2</v>
      </c>
      <c r="AN33">
        <v>21.816000000000031</v>
      </c>
      <c r="AO33">
        <v>0.26399999999994178</v>
      </c>
      <c r="AP33">
        <v>0.71999999999995146</v>
      </c>
      <c r="AQ33">
        <v>0</v>
      </c>
    </row>
    <row r="34" spans="1:43" x14ac:dyDescent="0.2">
      <c r="A34">
        <v>313</v>
      </c>
      <c r="B34">
        <v>35</v>
      </c>
      <c r="C34">
        <v>750</v>
      </c>
      <c r="D34">
        <v>500</v>
      </c>
      <c r="E34">
        <v>750</v>
      </c>
      <c r="F34">
        <f t="shared" ref="F34:F65" si="13">C34+D34</f>
        <v>1250</v>
      </c>
      <c r="G34">
        <f t="shared" ref="G34:G65" si="14">D34+E34</f>
        <v>1250</v>
      </c>
      <c r="H34">
        <v>2000</v>
      </c>
      <c r="I34">
        <v>0.64285714285714279</v>
      </c>
      <c r="J34">
        <v>0.42857142857142849</v>
      </c>
      <c r="K34">
        <v>0.64285714285714279</v>
      </c>
      <c r="L34">
        <f t="shared" ref="L34:L65" si="15">F34/(120*$B34*1000/3600)</f>
        <v>1.0714285714285714</v>
      </c>
      <c r="M34">
        <f t="shared" ref="M34:M65" si="16">G34/(120*$B34*1000/3600)</f>
        <v>1.0714285714285714</v>
      </c>
      <c r="N34">
        <v>1.714285714285714</v>
      </c>
      <c r="O34">
        <f t="shared" si="4"/>
        <v>9.2857142857142749E-2</v>
      </c>
      <c r="P34">
        <f t="shared" si="5"/>
        <v>0</v>
      </c>
      <c r="Q34">
        <f t="shared" si="6"/>
        <v>4.2857142857142816E-2</v>
      </c>
      <c r="R34">
        <f t="shared" si="7"/>
        <v>0</v>
      </c>
      <c r="S34">
        <f t="shared" si="8"/>
        <v>2.1428571428571394E-2</v>
      </c>
      <c r="T34">
        <f t="shared" si="9"/>
        <v>0.21428571428571397</v>
      </c>
      <c r="U34">
        <f t="shared" si="10"/>
        <v>0.23353975320388273</v>
      </c>
      <c r="V34">
        <f t="shared" si="11"/>
        <v>0.10227015045197384</v>
      </c>
      <c r="W34">
        <f t="shared" si="12"/>
        <v>0.21535447759544732</v>
      </c>
      <c r="X34">
        <v>0</v>
      </c>
      <c r="Y34">
        <v>31.2</v>
      </c>
      <c r="Z34">
        <v>87.6</v>
      </c>
      <c r="AA34">
        <v>39.6</v>
      </c>
      <c r="AB34">
        <v>0.59265306122457939</v>
      </c>
      <c r="AC34">
        <v>14.09877551020408</v>
      </c>
      <c r="AD34">
        <v>2.9490612244897618</v>
      </c>
      <c r="AE34">
        <v>8.0737959183672494</v>
      </c>
      <c r="AF34">
        <v>25.714285714285339</v>
      </c>
      <c r="AG34">
        <v>205.71428571428569</v>
      </c>
      <c r="AH34">
        <v>231.42857142857099</v>
      </c>
      <c r="AI34">
        <v>180</v>
      </c>
      <c r="AJ34">
        <v>0</v>
      </c>
      <c r="AK34">
        <v>27.154285714285649</v>
      </c>
      <c r="AL34">
        <v>2.8124081632652729</v>
      </c>
      <c r="AM34">
        <v>16.147591836734499</v>
      </c>
      <c r="AN34">
        <v>1.185306122449159</v>
      </c>
      <c r="AO34">
        <v>1.043265306122501</v>
      </c>
      <c r="AP34">
        <v>3.0857142857142512</v>
      </c>
      <c r="AQ34">
        <v>0</v>
      </c>
    </row>
    <row r="35" spans="1:43" x14ac:dyDescent="0.2">
      <c r="A35">
        <v>313</v>
      </c>
      <c r="B35">
        <v>32.5</v>
      </c>
      <c r="C35">
        <v>750</v>
      </c>
      <c r="D35">
        <v>500</v>
      </c>
      <c r="E35">
        <v>750</v>
      </c>
      <c r="F35">
        <f t="shared" si="13"/>
        <v>1250</v>
      </c>
      <c r="G35">
        <f t="shared" si="14"/>
        <v>1250</v>
      </c>
      <c r="H35">
        <v>2000</v>
      </c>
      <c r="I35">
        <v>0.6923076923076924</v>
      </c>
      <c r="J35">
        <v>0.46153846153846162</v>
      </c>
      <c r="K35">
        <v>0.6923076923076924</v>
      </c>
      <c r="L35">
        <f t="shared" si="15"/>
        <v>1.153846153846154</v>
      </c>
      <c r="M35">
        <f t="shared" si="16"/>
        <v>1.153846153846154</v>
      </c>
      <c r="N35">
        <v>1.846153846153846</v>
      </c>
      <c r="O35">
        <f t="shared" si="4"/>
        <v>0.14230769230769236</v>
      </c>
      <c r="P35">
        <f t="shared" si="5"/>
        <v>0</v>
      </c>
      <c r="Q35">
        <f t="shared" si="6"/>
        <v>9.2307692307692424E-2</v>
      </c>
      <c r="R35">
        <f t="shared" si="7"/>
        <v>5.384615384615396E-2</v>
      </c>
      <c r="S35">
        <f t="shared" si="8"/>
        <v>0.10384615384615396</v>
      </c>
      <c r="T35">
        <f t="shared" si="9"/>
        <v>0.15384615384615397</v>
      </c>
      <c r="U35">
        <f t="shared" si="10"/>
        <v>0.20957127270500439</v>
      </c>
      <c r="V35">
        <f t="shared" si="11"/>
        <v>0.16962366977846122</v>
      </c>
      <c r="W35">
        <f t="shared" si="12"/>
        <v>0.19326683886770962</v>
      </c>
      <c r="X35">
        <v>0</v>
      </c>
      <c r="Y35">
        <v>61.2</v>
      </c>
      <c r="Z35">
        <v>0</v>
      </c>
      <c r="AA35">
        <v>91.2</v>
      </c>
      <c r="AB35">
        <v>9.7846153846154476</v>
      </c>
      <c r="AC35">
        <v>9.4523076923075777</v>
      </c>
      <c r="AD35">
        <v>9.3641893491124293</v>
      </c>
      <c r="AE35">
        <v>0.93734911242601004</v>
      </c>
      <c r="AF35">
        <v>29.538461538461419</v>
      </c>
      <c r="AG35">
        <v>221.53846153846149</v>
      </c>
      <c r="AH35">
        <v>251.07692307692301</v>
      </c>
      <c r="AI35">
        <v>180</v>
      </c>
      <c r="AJ35">
        <v>0</v>
      </c>
      <c r="AK35">
        <v>7.9015384615382773</v>
      </c>
      <c r="AL35">
        <v>0.56222485207100459</v>
      </c>
      <c r="AM35">
        <v>1.8746982248520201</v>
      </c>
      <c r="AN35">
        <v>19.569230769230899</v>
      </c>
      <c r="AO35">
        <v>11.003076923076881</v>
      </c>
      <c r="AP35">
        <v>18.166153846153851</v>
      </c>
      <c r="AQ35">
        <v>0</v>
      </c>
    </row>
    <row r="36" spans="1:43" x14ac:dyDescent="0.2">
      <c r="A36">
        <v>313</v>
      </c>
      <c r="B36">
        <v>30</v>
      </c>
      <c r="C36">
        <v>750</v>
      </c>
      <c r="D36">
        <v>500</v>
      </c>
      <c r="E36">
        <v>750</v>
      </c>
      <c r="F36">
        <f t="shared" si="13"/>
        <v>1250</v>
      </c>
      <c r="G36">
        <f t="shared" si="14"/>
        <v>1250</v>
      </c>
      <c r="H36">
        <v>2000</v>
      </c>
      <c r="I36">
        <v>0.75</v>
      </c>
      <c r="J36">
        <v>0.5</v>
      </c>
      <c r="K36">
        <v>0.75</v>
      </c>
      <c r="L36">
        <f t="shared" si="15"/>
        <v>1.25</v>
      </c>
      <c r="M36">
        <f t="shared" si="16"/>
        <v>1.25</v>
      </c>
      <c r="N36">
        <v>2</v>
      </c>
      <c r="O36">
        <f t="shared" si="4"/>
        <v>0.19999999999999996</v>
      </c>
      <c r="P36">
        <f t="shared" si="5"/>
        <v>0</v>
      </c>
      <c r="Q36">
        <f t="shared" si="6"/>
        <v>0.15000000000000002</v>
      </c>
      <c r="R36">
        <f t="shared" si="7"/>
        <v>0.15</v>
      </c>
      <c r="S36">
        <f t="shared" si="8"/>
        <v>0.2</v>
      </c>
      <c r="T36">
        <f t="shared" si="9"/>
        <v>0</v>
      </c>
      <c r="U36">
        <f t="shared" si="10"/>
        <v>0.19999999999999996</v>
      </c>
      <c r="V36">
        <f t="shared" si="11"/>
        <v>0.24999999999999997</v>
      </c>
      <c r="W36">
        <f t="shared" si="12"/>
        <v>0.25</v>
      </c>
      <c r="X36">
        <v>0</v>
      </c>
      <c r="Y36">
        <v>64.8</v>
      </c>
      <c r="Z36">
        <v>15.6</v>
      </c>
      <c r="AA36">
        <v>118.8</v>
      </c>
      <c r="AB36">
        <v>17.399999999999839</v>
      </c>
      <c r="AC36">
        <v>8.5200000000001541</v>
      </c>
      <c r="AD36">
        <v>15.94799999999996</v>
      </c>
      <c r="AE36">
        <v>6.1319999999997288</v>
      </c>
      <c r="AF36">
        <v>47.999999999999432</v>
      </c>
      <c r="AG36">
        <v>240</v>
      </c>
      <c r="AH36">
        <v>287.99999999999937</v>
      </c>
      <c r="AI36">
        <v>180</v>
      </c>
      <c r="AJ36">
        <v>0</v>
      </c>
      <c r="AK36">
        <v>10.56000000000002</v>
      </c>
      <c r="AL36">
        <v>2.3760000000001229</v>
      </c>
      <c r="AM36">
        <v>12.263999999999459</v>
      </c>
      <c r="AN36">
        <v>34.799999999999677</v>
      </c>
      <c r="AO36">
        <v>6.4800000000002909</v>
      </c>
      <c r="AP36">
        <v>29.51999999999979</v>
      </c>
      <c r="AQ36">
        <v>0</v>
      </c>
    </row>
    <row r="37" spans="1:43" x14ac:dyDescent="0.2">
      <c r="A37">
        <v>313</v>
      </c>
      <c r="B37">
        <v>27.5</v>
      </c>
      <c r="C37">
        <v>750</v>
      </c>
      <c r="D37">
        <v>500</v>
      </c>
      <c r="E37">
        <v>750</v>
      </c>
      <c r="F37">
        <f t="shared" si="13"/>
        <v>1250</v>
      </c>
      <c r="G37">
        <f t="shared" si="14"/>
        <v>1250</v>
      </c>
      <c r="H37">
        <v>2000</v>
      </c>
      <c r="I37">
        <v>0.81818181818181823</v>
      </c>
      <c r="J37">
        <v>0.54545454545454553</v>
      </c>
      <c r="K37">
        <v>0.81818181818181823</v>
      </c>
      <c r="L37">
        <f t="shared" si="15"/>
        <v>1.3636363636363638</v>
      </c>
      <c r="M37">
        <f t="shared" si="16"/>
        <v>1.3636363636363638</v>
      </c>
      <c r="N37">
        <v>2.1818181818181821</v>
      </c>
      <c r="O37">
        <f t="shared" si="4"/>
        <v>0.13181818181818172</v>
      </c>
      <c r="P37">
        <f t="shared" si="5"/>
        <v>0</v>
      </c>
      <c r="Q37">
        <f t="shared" si="6"/>
        <v>8.181818181818179E-2</v>
      </c>
      <c r="R37">
        <f t="shared" si="7"/>
        <v>3.6363636363636265E-2</v>
      </c>
      <c r="S37">
        <f t="shared" si="8"/>
        <v>8.6363636363636254E-2</v>
      </c>
      <c r="T37">
        <f t="shared" si="9"/>
        <v>0.1818181818181821</v>
      </c>
      <c r="U37">
        <f t="shared" si="10"/>
        <v>0.22457489685519338</v>
      </c>
      <c r="V37">
        <f t="shared" si="11"/>
        <v>0.15514589241705457</v>
      </c>
      <c r="W37">
        <f t="shared" si="12"/>
        <v>0.20454545454545475</v>
      </c>
      <c r="X37">
        <v>0</v>
      </c>
      <c r="Y37">
        <v>15.6</v>
      </c>
      <c r="Z37">
        <v>81.599999999999994</v>
      </c>
      <c r="AA37">
        <v>61.2</v>
      </c>
      <c r="AB37">
        <v>0.76224793388424184</v>
      </c>
      <c r="AC37">
        <v>20.303206611570161</v>
      </c>
      <c r="AD37">
        <v>16.40727272727268</v>
      </c>
      <c r="AE37">
        <v>0.70909090909109285</v>
      </c>
      <c r="AF37">
        <v>38.181818181818016</v>
      </c>
      <c r="AG37">
        <v>261.81818181818181</v>
      </c>
      <c r="AH37">
        <v>299.99999999999977</v>
      </c>
      <c r="AI37">
        <v>180</v>
      </c>
      <c r="AJ37">
        <v>0</v>
      </c>
      <c r="AK37">
        <v>37.418181818181701</v>
      </c>
      <c r="AL37">
        <v>0.54545454545441319</v>
      </c>
      <c r="AM37">
        <v>1.4181818181821859</v>
      </c>
      <c r="AN37">
        <v>1.5244958677684839</v>
      </c>
      <c r="AO37">
        <v>3.1882314049586258</v>
      </c>
      <c r="AP37">
        <v>32.269090909090949</v>
      </c>
      <c r="AQ37">
        <v>0</v>
      </c>
    </row>
    <row r="38" spans="1:43" x14ac:dyDescent="0.2">
      <c r="A38">
        <v>313</v>
      </c>
      <c r="B38">
        <v>25</v>
      </c>
      <c r="C38">
        <v>750</v>
      </c>
      <c r="D38">
        <v>500</v>
      </c>
      <c r="E38">
        <v>750</v>
      </c>
      <c r="F38">
        <f t="shared" si="13"/>
        <v>1250</v>
      </c>
      <c r="G38">
        <f t="shared" si="14"/>
        <v>1250</v>
      </c>
      <c r="H38">
        <v>2000</v>
      </c>
      <c r="I38">
        <v>0.89999999999999991</v>
      </c>
      <c r="J38">
        <v>0.6</v>
      </c>
      <c r="K38">
        <v>0.89999999999999991</v>
      </c>
      <c r="L38">
        <f t="shared" si="15"/>
        <v>1.5</v>
      </c>
      <c r="M38">
        <f t="shared" si="16"/>
        <v>1.5</v>
      </c>
      <c r="N38">
        <v>2.4</v>
      </c>
      <c r="O38">
        <f t="shared" si="4"/>
        <v>5.0000000000000044E-2</v>
      </c>
      <c r="P38">
        <f t="shared" si="5"/>
        <v>0</v>
      </c>
      <c r="Q38">
        <f t="shared" si="6"/>
        <v>0</v>
      </c>
      <c r="R38">
        <f t="shared" si="7"/>
        <v>0</v>
      </c>
      <c r="S38">
        <f t="shared" si="8"/>
        <v>0</v>
      </c>
      <c r="T38">
        <f t="shared" si="9"/>
        <v>0.10000000000000009</v>
      </c>
      <c r="U38">
        <f t="shared" si="10"/>
        <v>0.11180339887498958</v>
      </c>
      <c r="V38">
        <f t="shared" si="11"/>
        <v>5.0000000000000044E-2</v>
      </c>
      <c r="W38">
        <f t="shared" si="12"/>
        <v>0.10000000000000009</v>
      </c>
      <c r="X38">
        <v>0</v>
      </c>
      <c r="Y38">
        <v>0</v>
      </c>
      <c r="Z38">
        <v>48</v>
      </c>
      <c r="AA38">
        <v>60</v>
      </c>
      <c r="AB38">
        <v>6</v>
      </c>
      <c r="AC38">
        <v>6</v>
      </c>
      <c r="AD38">
        <v>0</v>
      </c>
      <c r="AE38">
        <v>0</v>
      </c>
      <c r="AF38">
        <v>12</v>
      </c>
      <c r="AG38">
        <v>288</v>
      </c>
      <c r="AH38">
        <v>300</v>
      </c>
      <c r="AI38">
        <v>180</v>
      </c>
      <c r="AJ38">
        <v>0</v>
      </c>
      <c r="AK38">
        <v>12</v>
      </c>
      <c r="AL38">
        <v>0</v>
      </c>
      <c r="AM38">
        <v>0</v>
      </c>
      <c r="AN38">
        <v>12</v>
      </c>
      <c r="AO38">
        <v>0</v>
      </c>
      <c r="AP38">
        <v>0</v>
      </c>
      <c r="AQ38">
        <v>0</v>
      </c>
    </row>
    <row r="39" spans="1:43" x14ac:dyDescent="0.2">
      <c r="A39">
        <v>313</v>
      </c>
      <c r="B39">
        <v>22.5</v>
      </c>
      <c r="C39">
        <v>750</v>
      </c>
      <c r="D39">
        <v>500</v>
      </c>
      <c r="E39">
        <v>750</v>
      </c>
      <c r="F39">
        <f t="shared" si="13"/>
        <v>1250</v>
      </c>
      <c r="G39">
        <f t="shared" si="14"/>
        <v>1250</v>
      </c>
      <c r="H39">
        <v>2000</v>
      </c>
      <c r="I39">
        <v>1</v>
      </c>
      <c r="J39">
        <v>0.66666666666666663</v>
      </c>
      <c r="K39">
        <v>1</v>
      </c>
      <c r="L39">
        <f t="shared" si="15"/>
        <v>1.6666666666666667</v>
      </c>
      <c r="M39">
        <f t="shared" si="16"/>
        <v>1.6666666666666667</v>
      </c>
      <c r="N39">
        <v>2.666666666666667</v>
      </c>
      <c r="O39">
        <f t="shared" si="4"/>
        <v>0</v>
      </c>
      <c r="P39">
        <f t="shared" si="5"/>
        <v>1.6666666666666607E-2</v>
      </c>
      <c r="Q39">
        <f t="shared" si="6"/>
        <v>0</v>
      </c>
      <c r="R39">
        <f t="shared" si="7"/>
        <v>6.6666666666666763E-2</v>
      </c>
      <c r="S39">
        <f t="shared" si="8"/>
        <v>0.1166666666666667</v>
      </c>
      <c r="T39">
        <f t="shared" si="9"/>
        <v>0.16666666666666696</v>
      </c>
      <c r="U39">
        <f t="shared" si="10"/>
        <v>0.16666666666666696</v>
      </c>
      <c r="V39">
        <f t="shared" si="11"/>
        <v>1.6666666666666607E-2</v>
      </c>
      <c r="W39">
        <f t="shared" si="12"/>
        <v>0.21408720964441907</v>
      </c>
      <c r="X39">
        <v>0</v>
      </c>
      <c r="Y39">
        <v>0</v>
      </c>
      <c r="Z39">
        <v>52.8</v>
      </c>
      <c r="AA39">
        <v>76.8</v>
      </c>
      <c r="AB39">
        <v>8.4799999999998867</v>
      </c>
      <c r="AC39">
        <v>9.919999999999952</v>
      </c>
      <c r="AD39">
        <v>0.95999999999993535</v>
      </c>
      <c r="AE39">
        <v>0.64000000000010515</v>
      </c>
      <c r="AF39">
        <v>19.999999999999801</v>
      </c>
      <c r="AG39">
        <v>320</v>
      </c>
      <c r="AH39">
        <v>339.99999999999977</v>
      </c>
      <c r="AI39">
        <v>180</v>
      </c>
      <c r="AJ39">
        <v>0</v>
      </c>
      <c r="AK39">
        <v>0</v>
      </c>
      <c r="AL39">
        <v>1.9199999999998709</v>
      </c>
      <c r="AM39">
        <v>1.2800000000002101</v>
      </c>
      <c r="AN39">
        <v>16.95999999999977</v>
      </c>
      <c r="AO39">
        <v>19.8399999999999</v>
      </c>
      <c r="AP39">
        <v>0</v>
      </c>
      <c r="AQ39">
        <v>0</v>
      </c>
    </row>
    <row r="40" spans="1:43" x14ac:dyDescent="0.2">
      <c r="A40">
        <v>313</v>
      </c>
      <c r="B40">
        <v>20</v>
      </c>
      <c r="C40">
        <v>750</v>
      </c>
      <c r="D40">
        <v>500</v>
      </c>
      <c r="E40">
        <v>750</v>
      </c>
      <c r="F40">
        <f t="shared" si="13"/>
        <v>1250</v>
      </c>
      <c r="G40">
        <f t="shared" si="14"/>
        <v>1250</v>
      </c>
      <c r="H40">
        <v>2000</v>
      </c>
      <c r="I40">
        <v>1.125</v>
      </c>
      <c r="J40">
        <v>0.75</v>
      </c>
      <c r="K40">
        <v>1.125</v>
      </c>
      <c r="L40">
        <f t="shared" si="15"/>
        <v>1.875</v>
      </c>
      <c r="M40">
        <f t="shared" si="16"/>
        <v>1.875</v>
      </c>
      <c r="N40">
        <v>3</v>
      </c>
      <c r="O40">
        <f t="shared" si="4"/>
        <v>7.4999999999999997E-2</v>
      </c>
      <c r="P40">
        <f t="shared" si="5"/>
        <v>9.9999999999999978E-2</v>
      </c>
      <c r="Q40">
        <f t="shared" si="6"/>
        <v>2.4999999999999994E-2</v>
      </c>
      <c r="R40">
        <f t="shared" si="7"/>
        <v>2.5000000000000022E-2</v>
      </c>
      <c r="S40">
        <f t="shared" si="8"/>
        <v>7.4999999999999956E-2</v>
      </c>
      <c r="T40">
        <f t="shared" si="9"/>
        <v>0</v>
      </c>
      <c r="U40">
        <f t="shared" si="10"/>
        <v>7.4999999999999997E-2</v>
      </c>
      <c r="V40">
        <f t="shared" si="11"/>
        <v>0.1274754878398196</v>
      </c>
      <c r="W40">
        <f t="shared" si="12"/>
        <v>7.9056941504209458E-2</v>
      </c>
      <c r="X40">
        <v>0</v>
      </c>
      <c r="Y40">
        <v>116.4</v>
      </c>
      <c r="Z40">
        <v>91.2</v>
      </c>
      <c r="AA40">
        <v>112.8</v>
      </c>
      <c r="AB40">
        <v>4.9799999999999676</v>
      </c>
      <c r="AC40">
        <v>14.280000000000131</v>
      </c>
      <c r="AD40">
        <v>4.0439999999999907</v>
      </c>
      <c r="AE40">
        <v>0.69599999999942763</v>
      </c>
      <c r="AF40">
        <v>23.999999999998948</v>
      </c>
      <c r="AG40">
        <v>360</v>
      </c>
      <c r="AH40">
        <v>383.99999999999898</v>
      </c>
      <c r="AI40">
        <v>180</v>
      </c>
      <c r="AJ40">
        <v>0</v>
      </c>
      <c r="AK40">
        <v>5.2799999999999674</v>
      </c>
      <c r="AL40">
        <v>0.52799999999996439</v>
      </c>
      <c r="AM40">
        <v>1.391999999998855</v>
      </c>
      <c r="AN40">
        <v>9.9599999999999351</v>
      </c>
      <c r="AO40">
        <v>23.280000000000289</v>
      </c>
      <c r="AP40">
        <v>7.5600000000000156</v>
      </c>
      <c r="AQ40">
        <v>0</v>
      </c>
    </row>
    <row r="41" spans="1:43" x14ac:dyDescent="0.2">
      <c r="A41">
        <v>314</v>
      </c>
      <c r="B41">
        <v>50</v>
      </c>
      <c r="C41">
        <v>416.66666666666669</v>
      </c>
      <c r="D41">
        <v>500</v>
      </c>
      <c r="E41">
        <v>416.66666666666669</v>
      </c>
      <c r="F41">
        <f t="shared" si="13"/>
        <v>916.66666666666674</v>
      </c>
      <c r="G41">
        <f t="shared" si="14"/>
        <v>916.66666666666674</v>
      </c>
      <c r="H41">
        <v>1333.333333333333</v>
      </c>
      <c r="I41">
        <v>0.25</v>
      </c>
      <c r="J41">
        <v>0.3</v>
      </c>
      <c r="K41">
        <v>0.25</v>
      </c>
      <c r="L41">
        <f t="shared" si="15"/>
        <v>0.55000000000000004</v>
      </c>
      <c r="M41">
        <f t="shared" si="16"/>
        <v>0.55000000000000004</v>
      </c>
      <c r="N41">
        <v>0.8</v>
      </c>
      <c r="O41">
        <f t="shared" si="4"/>
        <v>0.2</v>
      </c>
      <c r="P41">
        <f t="shared" si="5"/>
        <v>4.9999999999999989E-2</v>
      </c>
      <c r="Q41">
        <f t="shared" si="6"/>
        <v>0.15</v>
      </c>
      <c r="R41">
        <f t="shared" si="7"/>
        <v>0</v>
      </c>
      <c r="S41">
        <f t="shared" si="8"/>
        <v>0</v>
      </c>
      <c r="T41">
        <f t="shared" si="9"/>
        <v>0.19999999999999996</v>
      </c>
      <c r="U41">
        <f t="shared" si="10"/>
        <v>0.28284271247461901</v>
      </c>
      <c r="V41">
        <f t="shared" si="11"/>
        <v>0.25495097567963926</v>
      </c>
      <c r="W41">
        <f t="shared" si="12"/>
        <v>0.19999999999999996</v>
      </c>
      <c r="X41">
        <v>0</v>
      </c>
      <c r="Y41">
        <v>2.4</v>
      </c>
      <c r="Z41">
        <v>67.2</v>
      </c>
      <c r="AA41">
        <v>88.8</v>
      </c>
      <c r="AB41">
        <v>14.903999999999559</v>
      </c>
      <c r="AC41">
        <v>10.656000000000009</v>
      </c>
      <c r="AD41">
        <v>18.239999999999899</v>
      </c>
      <c r="AE41">
        <v>4.1999999999999593</v>
      </c>
      <c r="AF41">
        <v>47.999999999999467</v>
      </c>
      <c r="AG41">
        <v>96</v>
      </c>
      <c r="AH41">
        <v>143.99999999999949</v>
      </c>
      <c r="AI41">
        <v>180</v>
      </c>
      <c r="AJ41">
        <v>0</v>
      </c>
      <c r="AK41">
        <v>12.48000000000005</v>
      </c>
      <c r="AL41">
        <v>19.92000000000003</v>
      </c>
      <c r="AM41">
        <v>8.3999999999999186</v>
      </c>
      <c r="AN41">
        <v>29.807999999999119</v>
      </c>
      <c r="AO41">
        <v>8.8319999999999705</v>
      </c>
      <c r="AP41">
        <v>16.559999999999771</v>
      </c>
      <c r="AQ41">
        <v>0</v>
      </c>
    </row>
    <row r="42" spans="1:43" x14ac:dyDescent="0.2">
      <c r="A42">
        <v>314</v>
      </c>
      <c r="B42">
        <v>47.5</v>
      </c>
      <c r="C42">
        <v>416.66666666666669</v>
      </c>
      <c r="D42">
        <v>500</v>
      </c>
      <c r="E42">
        <v>416.66666666666669</v>
      </c>
      <c r="F42">
        <f t="shared" si="13"/>
        <v>916.66666666666674</v>
      </c>
      <c r="G42">
        <f t="shared" si="14"/>
        <v>916.66666666666674</v>
      </c>
      <c r="H42">
        <v>1333.333333333333</v>
      </c>
      <c r="I42">
        <v>0.26315789473684209</v>
      </c>
      <c r="J42">
        <v>0.31578947368421062</v>
      </c>
      <c r="K42">
        <v>0.26315789473684209</v>
      </c>
      <c r="L42">
        <f t="shared" si="15"/>
        <v>0.57894736842105265</v>
      </c>
      <c r="M42">
        <f t="shared" si="16"/>
        <v>0.57894736842105265</v>
      </c>
      <c r="N42">
        <v>0.8421052631578948</v>
      </c>
      <c r="O42">
        <f t="shared" si="4"/>
        <v>0.18684210526315792</v>
      </c>
      <c r="P42">
        <f t="shared" si="5"/>
        <v>3.4210526315789358E-2</v>
      </c>
      <c r="Q42">
        <f t="shared" si="6"/>
        <v>0.13684210526315793</v>
      </c>
      <c r="R42">
        <f t="shared" si="7"/>
        <v>0</v>
      </c>
      <c r="S42">
        <f t="shared" si="8"/>
        <v>2.8947368421052611E-2</v>
      </c>
      <c r="T42">
        <f t="shared" si="9"/>
        <v>0.1578947368421052</v>
      </c>
      <c r="U42">
        <f t="shared" si="10"/>
        <v>0.24462362972862339</v>
      </c>
      <c r="V42">
        <f t="shared" si="11"/>
        <v>0.2341070143819392</v>
      </c>
      <c r="W42">
        <f t="shared" si="12"/>
        <v>0.16052631578947363</v>
      </c>
      <c r="X42">
        <v>0</v>
      </c>
      <c r="Y42">
        <v>2.4</v>
      </c>
      <c r="Z42">
        <v>56.4</v>
      </c>
      <c r="AA42">
        <v>82.8</v>
      </c>
      <c r="AB42">
        <v>16.989473684210189</v>
      </c>
      <c r="AC42">
        <v>15.71999999999999</v>
      </c>
      <c r="AD42">
        <v>13.96421052631575</v>
      </c>
      <c r="AE42">
        <v>2.589473684210478</v>
      </c>
      <c r="AF42">
        <v>49.263157894736118</v>
      </c>
      <c r="AG42">
        <v>101.0526315789474</v>
      </c>
      <c r="AH42">
        <v>150.31578947368351</v>
      </c>
      <c r="AI42">
        <v>180</v>
      </c>
      <c r="AJ42">
        <v>0</v>
      </c>
      <c r="AK42">
        <v>13.743157894736861</v>
      </c>
      <c r="AL42">
        <v>7.5410526315789159</v>
      </c>
      <c r="AM42">
        <v>5.178947368420955</v>
      </c>
      <c r="AN42">
        <v>33.978947368420393</v>
      </c>
      <c r="AO42">
        <v>17.696842105263119</v>
      </c>
      <c r="AP42">
        <v>20.387368421052571</v>
      </c>
      <c r="AQ42">
        <v>0</v>
      </c>
    </row>
    <row r="43" spans="1:43" x14ac:dyDescent="0.2">
      <c r="A43">
        <v>314</v>
      </c>
      <c r="B43">
        <v>45</v>
      </c>
      <c r="C43">
        <v>416.66666666666669</v>
      </c>
      <c r="D43">
        <v>500</v>
      </c>
      <c r="E43">
        <v>416.66666666666669</v>
      </c>
      <c r="F43">
        <f t="shared" si="13"/>
        <v>916.66666666666674</v>
      </c>
      <c r="G43">
        <f t="shared" si="14"/>
        <v>916.66666666666674</v>
      </c>
      <c r="H43">
        <v>1333.333333333333</v>
      </c>
      <c r="I43">
        <v>0.27777777777777779</v>
      </c>
      <c r="J43">
        <v>0.33333333333333331</v>
      </c>
      <c r="K43">
        <v>0.27777777777777779</v>
      </c>
      <c r="L43">
        <f t="shared" si="15"/>
        <v>0.61111111111111116</v>
      </c>
      <c r="M43">
        <f t="shared" si="16"/>
        <v>0.61111111111111116</v>
      </c>
      <c r="N43">
        <v>0.88888888888888895</v>
      </c>
      <c r="O43">
        <f t="shared" si="4"/>
        <v>0.17222222222222222</v>
      </c>
      <c r="P43">
        <f t="shared" si="5"/>
        <v>1.6666666666666663E-2</v>
      </c>
      <c r="Q43">
        <f t="shared" si="6"/>
        <v>0.12222222222222223</v>
      </c>
      <c r="R43">
        <f t="shared" si="7"/>
        <v>1.1111111111111183E-2</v>
      </c>
      <c r="S43">
        <f t="shared" si="8"/>
        <v>6.1111111111111116E-2</v>
      </c>
      <c r="T43">
        <f t="shared" si="9"/>
        <v>0.11111111111111105</v>
      </c>
      <c r="U43">
        <f t="shared" si="10"/>
        <v>0.20495407495218571</v>
      </c>
      <c r="V43">
        <f t="shared" si="11"/>
        <v>0.21184084405486242</v>
      </c>
      <c r="W43">
        <f t="shared" si="12"/>
        <v>0.12729376930432884</v>
      </c>
      <c r="X43">
        <v>0</v>
      </c>
      <c r="Y43">
        <v>1.2</v>
      </c>
      <c r="Z43">
        <v>44.4</v>
      </c>
      <c r="AA43">
        <v>37.200000000000003</v>
      </c>
      <c r="AB43">
        <v>17.26666666666663</v>
      </c>
      <c r="AC43">
        <v>14.879999999999891</v>
      </c>
      <c r="AD43">
        <v>1.17688888888887</v>
      </c>
      <c r="AE43">
        <v>17.343111111111039</v>
      </c>
      <c r="AF43">
        <v>50.666666666666401</v>
      </c>
      <c r="AG43">
        <v>106.6666666666667</v>
      </c>
      <c r="AH43">
        <v>157.33333333333309</v>
      </c>
      <c r="AI43">
        <v>180</v>
      </c>
      <c r="AJ43">
        <v>0</v>
      </c>
      <c r="AK43">
        <v>16.106666666666491</v>
      </c>
      <c r="AL43">
        <v>1.0737777777777711</v>
      </c>
      <c r="AM43">
        <v>34.686222222222092</v>
      </c>
      <c r="AN43">
        <v>34.533333333333253</v>
      </c>
      <c r="AO43">
        <v>13.653333333333279</v>
      </c>
      <c r="AP43">
        <v>1.2799999999999681</v>
      </c>
      <c r="AQ43">
        <v>0</v>
      </c>
    </row>
    <row r="44" spans="1:43" x14ac:dyDescent="0.2">
      <c r="A44">
        <v>314</v>
      </c>
      <c r="B44">
        <v>42.5</v>
      </c>
      <c r="C44">
        <v>416.66666666666669</v>
      </c>
      <c r="D44">
        <v>500</v>
      </c>
      <c r="E44">
        <v>416.66666666666669</v>
      </c>
      <c r="F44">
        <f t="shared" si="13"/>
        <v>916.66666666666674</v>
      </c>
      <c r="G44">
        <f t="shared" si="14"/>
        <v>916.66666666666674</v>
      </c>
      <c r="H44">
        <v>1333.333333333333</v>
      </c>
      <c r="I44">
        <v>0.29411764705882348</v>
      </c>
      <c r="J44">
        <v>0.3529411764705882</v>
      </c>
      <c r="K44">
        <v>0.29411764705882348</v>
      </c>
      <c r="L44">
        <f t="shared" si="15"/>
        <v>0.6470588235294118</v>
      </c>
      <c r="M44">
        <f t="shared" si="16"/>
        <v>0.6470588235294118</v>
      </c>
      <c r="N44">
        <v>0.94117647058823528</v>
      </c>
      <c r="O44">
        <f t="shared" si="4"/>
        <v>0.15588235294117653</v>
      </c>
      <c r="P44">
        <f t="shared" si="5"/>
        <v>0</v>
      </c>
      <c r="Q44">
        <f t="shared" si="6"/>
        <v>0.10588235294117654</v>
      </c>
      <c r="R44">
        <f t="shared" si="7"/>
        <v>4.705882352941182E-2</v>
      </c>
      <c r="S44">
        <f t="shared" si="8"/>
        <v>9.7058823529411753E-2</v>
      </c>
      <c r="T44">
        <f t="shared" si="9"/>
        <v>5.8823529411764719E-2</v>
      </c>
      <c r="U44">
        <f t="shared" si="10"/>
        <v>0.16661187103845354</v>
      </c>
      <c r="V44">
        <f t="shared" si="11"/>
        <v>0.18844198211342769</v>
      </c>
      <c r="W44">
        <f t="shared" si="12"/>
        <v>0.12286234455414956</v>
      </c>
      <c r="X44">
        <v>0</v>
      </c>
      <c r="Y44">
        <v>4.8</v>
      </c>
      <c r="Z44">
        <v>61.2</v>
      </c>
      <c r="AA44">
        <v>70.8</v>
      </c>
      <c r="AB44">
        <v>19.149923875431991</v>
      </c>
      <c r="AC44">
        <v>11.097134948096899</v>
      </c>
      <c r="AD44">
        <v>9.1411764705882277</v>
      </c>
      <c r="AE44">
        <v>12.84705882352937</v>
      </c>
      <c r="AF44">
        <v>52.235294117646418</v>
      </c>
      <c r="AG44">
        <v>112.9411764705882</v>
      </c>
      <c r="AH44">
        <v>165.17647058823471</v>
      </c>
      <c r="AI44">
        <v>180</v>
      </c>
      <c r="AJ44">
        <v>0</v>
      </c>
      <c r="AK44">
        <v>14.795294117647099</v>
      </c>
      <c r="AL44">
        <v>5.7458823529412459</v>
      </c>
      <c r="AM44">
        <v>25.694117647058739</v>
      </c>
      <c r="AN44">
        <v>38.299847750863982</v>
      </c>
      <c r="AO44">
        <v>7.3989757785466894</v>
      </c>
      <c r="AP44">
        <v>12.536470588235209</v>
      </c>
      <c r="AQ44">
        <v>0</v>
      </c>
    </row>
    <row r="45" spans="1:43" x14ac:dyDescent="0.2">
      <c r="A45">
        <v>314</v>
      </c>
      <c r="B45">
        <v>40</v>
      </c>
      <c r="C45">
        <v>416.66666666666669</v>
      </c>
      <c r="D45">
        <v>500</v>
      </c>
      <c r="E45">
        <v>416.66666666666669</v>
      </c>
      <c r="F45">
        <f t="shared" si="13"/>
        <v>916.66666666666674</v>
      </c>
      <c r="G45">
        <f t="shared" si="14"/>
        <v>916.66666666666674</v>
      </c>
      <c r="H45">
        <v>1333.333333333333</v>
      </c>
      <c r="I45">
        <v>0.31250000000000011</v>
      </c>
      <c r="J45">
        <v>0.375</v>
      </c>
      <c r="K45">
        <v>0.31250000000000011</v>
      </c>
      <c r="L45">
        <f t="shared" si="15"/>
        <v>0.68750000000000011</v>
      </c>
      <c r="M45">
        <f t="shared" si="16"/>
        <v>0.68750000000000011</v>
      </c>
      <c r="N45">
        <v>1</v>
      </c>
      <c r="O45">
        <f t="shared" si="4"/>
        <v>0.1374999999999999</v>
      </c>
      <c r="P45">
        <f t="shared" si="5"/>
        <v>0</v>
      </c>
      <c r="Q45">
        <f t="shared" si="6"/>
        <v>8.7499999999999911E-2</v>
      </c>
      <c r="R45">
        <f t="shared" si="7"/>
        <v>8.7500000000000133E-2</v>
      </c>
      <c r="S45">
        <f t="shared" si="8"/>
        <v>0.13750000000000007</v>
      </c>
      <c r="T45">
        <f t="shared" si="9"/>
        <v>0</v>
      </c>
      <c r="U45">
        <f t="shared" si="10"/>
        <v>0.1374999999999999</v>
      </c>
      <c r="V45">
        <f t="shared" si="11"/>
        <v>0.16298006013006608</v>
      </c>
      <c r="W45">
        <f t="shared" si="12"/>
        <v>0.16298006013006636</v>
      </c>
      <c r="X45">
        <v>0</v>
      </c>
      <c r="Y45">
        <v>61.2</v>
      </c>
      <c r="Z45">
        <v>3.6</v>
      </c>
      <c r="AA45">
        <v>34.799999999999997</v>
      </c>
      <c r="AB45">
        <v>9.1964999999997712</v>
      </c>
      <c r="AC45">
        <v>16.543500000000009</v>
      </c>
      <c r="AD45">
        <v>22.109999999999861</v>
      </c>
      <c r="AE45">
        <v>3.1499999999999191</v>
      </c>
      <c r="AF45">
        <v>50.999999999999673</v>
      </c>
      <c r="AG45">
        <v>120</v>
      </c>
      <c r="AH45">
        <v>170.99999999999969</v>
      </c>
      <c r="AI45">
        <v>180</v>
      </c>
      <c r="AJ45">
        <v>0</v>
      </c>
      <c r="AK45">
        <v>23.7</v>
      </c>
      <c r="AL45">
        <v>17.39999999999992</v>
      </c>
      <c r="AM45">
        <v>6.2999999999998382</v>
      </c>
      <c r="AN45">
        <v>18.392999999999539</v>
      </c>
      <c r="AO45">
        <v>9.38700000000002</v>
      </c>
      <c r="AP45">
        <v>26.819999999999791</v>
      </c>
      <c r="AQ45">
        <v>0</v>
      </c>
    </row>
    <row r="46" spans="1:43" x14ac:dyDescent="0.2">
      <c r="A46">
        <v>314</v>
      </c>
      <c r="B46">
        <v>37.5</v>
      </c>
      <c r="C46">
        <v>416.66666666666669</v>
      </c>
      <c r="D46">
        <v>500</v>
      </c>
      <c r="E46">
        <v>416.66666666666669</v>
      </c>
      <c r="F46">
        <f t="shared" si="13"/>
        <v>916.66666666666674</v>
      </c>
      <c r="G46">
        <f t="shared" si="14"/>
        <v>916.66666666666674</v>
      </c>
      <c r="H46">
        <v>1333.333333333333</v>
      </c>
      <c r="I46">
        <v>0.33333333333333343</v>
      </c>
      <c r="J46">
        <v>0.4</v>
      </c>
      <c r="K46">
        <v>0.33333333333333343</v>
      </c>
      <c r="L46">
        <f t="shared" si="15"/>
        <v>0.73333333333333339</v>
      </c>
      <c r="M46">
        <f t="shared" si="16"/>
        <v>0.73333333333333339</v>
      </c>
      <c r="N46">
        <v>1.0666666666666671</v>
      </c>
      <c r="O46">
        <f t="shared" si="4"/>
        <v>0.11666666666666659</v>
      </c>
      <c r="P46">
        <f t="shared" si="5"/>
        <v>0</v>
      </c>
      <c r="Q46">
        <f t="shared" si="6"/>
        <v>6.6666666666666596E-2</v>
      </c>
      <c r="R46">
        <f t="shared" si="7"/>
        <v>0.13333333333333341</v>
      </c>
      <c r="S46">
        <f t="shared" si="8"/>
        <v>0.18333333333333335</v>
      </c>
      <c r="T46">
        <f t="shared" si="9"/>
        <v>6.6666666666667096E-2</v>
      </c>
      <c r="U46">
        <f t="shared" si="10"/>
        <v>0.13437096247164265</v>
      </c>
      <c r="V46">
        <f t="shared" si="11"/>
        <v>0.13437096247164237</v>
      </c>
      <c r="W46">
        <f t="shared" si="12"/>
        <v>0.23629078131263059</v>
      </c>
      <c r="X46">
        <v>0</v>
      </c>
      <c r="Y46">
        <v>28.8</v>
      </c>
      <c r="Z46">
        <v>88.8</v>
      </c>
      <c r="AA46">
        <v>75.599999999999994</v>
      </c>
      <c r="AB46">
        <v>19.879999999999889</v>
      </c>
      <c r="AC46">
        <v>0.28000000000000808</v>
      </c>
      <c r="AD46">
        <v>1.239999999999984</v>
      </c>
      <c r="AE46">
        <v>26.59999999999976</v>
      </c>
      <c r="AF46">
        <v>47.999999999999673</v>
      </c>
      <c r="AG46">
        <v>128</v>
      </c>
      <c r="AH46">
        <v>175.99999999999969</v>
      </c>
      <c r="AI46">
        <v>180</v>
      </c>
      <c r="AJ46">
        <v>0</v>
      </c>
      <c r="AK46">
        <v>0</v>
      </c>
      <c r="AL46">
        <v>0.8</v>
      </c>
      <c r="AM46">
        <v>53.199999999999513</v>
      </c>
      <c r="AN46">
        <v>39.759999999999771</v>
      </c>
      <c r="AO46">
        <v>0.56000000000001615</v>
      </c>
      <c r="AP46">
        <v>1.679999999999968</v>
      </c>
      <c r="AQ46">
        <v>0</v>
      </c>
    </row>
    <row r="47" spans="1:43" x14ac:dyDescent="0.2">
      <c r="A47">
        <v>314</v>
      </c>
      <c r="B47">
        <v>35</v>
      </c>
      <c r="C47">
        <v>416.66666666666669</v>
      </c>
      <c r="D47">
        <v>500</v>
      </c>
      <c r="E47">
        <v>416.66666666666669</v>
      </c>
      <c r="F47">
        <f t="shared" si="13"/>
        <v>916.66666666666674</v>
      </c>
      <c r="G47">
        <f t="shared" si="14"/>
        <v>916.66666666666674</v>
      </c>
      <c r="H47">
        <v>1333.333333333333</v>
      </c>
      <c r="I47">
        <v>0.35714285714285721</v>
      </c>
      <c r="J47">
        <v>0.42857142857142849</v>
      </c>
      <c r="K47">
        <v>0.35714285714285721</v>
      </c>
      <c r="L47">
        <f t="shared" si="15"/>
        <v>0.7857142857142857</v>
      </c>
      <c r="M47">
        <f t="shared" si="16"/>
        <v>0.7857142857142857</v>
      </c>
      <c r="N47">
        <v>1.142857142857143</v>
      </c>
      <c r="O47">
        <f t="shared" si="4"/>
        <v>9.2857142857142805E-2</v>
      </c>
      <c r="P47">
        <f t="shared" si="5"/>
        <v>0</v>
      </c>
      <c r="Q47">
        <f t="shared" si="6"/>
        <v>4.2857142857142816E-2</v>
      </c>
      <c r="R47">
        <f t="shared" si="7"/>
        <v>0.11428571428571432</v>
      </c>
      <c r="S47">
        <f t="shared" si="8"/>
        <v>0.16428571428571426</v>
      </c>
      <c r="T47">
        <f t="shared" si="9"/>
        <v>0.14285714285714302</v>
      </c>
      <c r="U47">
        <f t="shared" si="10"/>
        <v>0.17038372059823673</v>
      </c>
      <c r="V47">
        <f t="shared" si="11"/>
        <v>0.10227015045197388</v>
      </c>
      <c r="W47">
        <f t="shared" si="12"/>
        <v>0.24588449254369302</v>
      </c>
      <c r="X47">
        <v>0</v>
      </c>
      <c r="Y47">
        <v>56.4</v>
      </c>
      <c r="Z47">
        <v>0</v>
      </c>
      <c r="AA47">
        <v>93.6</v>
      </c>
      <c r="AB47">
        <v>4.6285714285715791</v>
      </c>
      <c r="AC47">
        <v>6.7714285714285829</v>
      </c>
      <c r="AD47">
        <v>6.0857142857142916</v>
      </c>
      <c r="AE47">
        <v>25.371428571428499</v>
      </c>
      <c r="AF47">
        <v>42.857142857142797</v>
      </c>
      <c r="AG47">
        <v>137.1428571428572</v>
      </c>
      <c r="AH47">
        <v>180</v>
      </c>
      <c r="AI47">
        <v>180</v>
      </c>
      <c r="AJ47">
        <v>0</v>
      </c>
      <c r="AK47">
        <v>13.542857142857169</v>
      </c>
      <c r="AL47">
        <v>12.17142857142858</v>
      </c>
      <c r="AM47">
        <v>50.742857142857012</v>
      </c>
      <c r="AN47">
        <v>9.2571428571431582</v>
      </c>
      <c r="AO47">
        <v>0</v>
      </c>
      <c r="AP47">
        <v>0</v>
      </c>
      <c r="AQ47">
        <v>0</v>
      </c>
    </row>
    <row r="48" spans="1:43" x14ac:dyDescent="0.2">
      <c r="A48">
        <v>314</v>
      </c>
      <c r="B48">
        <v>32.5</v>
      </c>
      <c r="C48">
        <v>416.66666666666669</v>
      </c>
      <c r="D48">
        <v>500</v>
      </c>
      <c r="E48">
        <v>416.66666666666669</v>
      </c>
      <c r="F48">
        <f t="shared" si="13"/>
        <v>916.66666666666674</v>
      </c>
      <c r="G48">
        <f t="shared" si="14"/>
        <v>916.66666666666674</v>
      </c>
      <c r="H48">
        <v>1333.333333333333</v>
      </c>
      <c r="I48">
        <v>0.38461538461538458</v>
      </c>
      <c r="J48">
        <v>0.46153846153846162</v>
      </c>
      <c r="K48">
        <v>0.38461538461538458</v>
      </c>
      <c r="L48">
        <f t="shared" si="15"/>
        <v>0.84615384615384626</v>
      </c>
      <c r="M48">
        <f t="shared" si="16"/>
        <v>0.84615384615384626</v>
      </c>
      <c r="N48">
        <v>1.2307692307692311</v>
      </c>
      <c r="O48">
        <f t="shared" si="4"/>
        <v>6.538461538461543E-2</v>
      </c>
      <c r="P48">
        <f t="shared" si="5"/>
        <v>0</v>
      </c>
      <c r="Q48">
        <f t="shared" si="6"/>
        <v>1.5384615384615441E-2</v>
      </c>
      <c r="R48">
        <f t="shared" si="7"/>
        <v>5.3846153846153766E-2</v>
      </c>
      <c r="S48">
        <f t="shared" si="8"/>
        <v>0.1038461538461537</v>
      </c>
      <c r="T48">
        <f t="shared" si="9"/>
        <v>0.23076923076923106</v>
      </c>
      <c r="U48">
        <f t="shared" si="10"/>
        <v>0.23985325888721359</v>
      </c>
      <c r="V48">
        <f t="shared" si="11"/>
        <v>6.7170189217588452E-2</v>
      </c>
      <c r="W48">
        <f t="shared" si="12"/>
        <v>0.25872353936680231</v>
      </c>
      <c r="X48">
        <v>0</v>
      </c>
      <c r="Y48">
        <v>34.799999999999997</v>
      </c>
      <c r="Z48">
        <v>78</v>
      </c>
      <c r="AA48">
        <v>28.8</v>
      </c>
      <c r="AB48">
        <v>19.523076923077149</v>
      </c>
      <c r="AC48">
        <v>10.70769230769228</v>
      </c>
      <c r="AD48">
        <v>1.523076923076911</v>
      </c>
      <c r="AE48">
        <v>0.55384615384605751</v>
      </c>
      <c r="AF48">
        <v>32.307692307692292</v>
      </c>
      <c r="AG48">
        <v>147.69230769230771</v>
      </c>
      <c r="AH48">
        <v>180</v>
      </c>
      <c r="AI48">
        <v>180</v>
      </c>
      <c r="AJ48">
        <v>0</v>
      </c>
      <c r="AK48">
        <v>0</v>
      </c>
      <c r="AL48">
        <v>0</v>
      </c>
      <c r="AM48">
        <v>1.107692307692115</v>
      </c>
      <c r="AN48">
        <v>39.046153846154297</v>
      </c>
      <c r="AO48">
        <v>21.41538461538455</v>
      </c>
      <c r="AP48">
        <v>3.0461538461538211</v>
      </c>
      <c r="AQ48">
        <v>0</v>
      </c>
    </row>
    <row r="49" spans="1:43" x14ac:dyDescent="0.2">
      <c r="A49">
        <v>314</v>
      </c>
      <c r="B49">
        <v>30</v>
      </c>
      <c r="C49">
        <v>416.66666666666669</v>
      </c>
      <c r="D49">
        <v>500</v>
      </c>
      <c r="E49">
        <v>416.66666666666669</v>
      </c>
      <c r="F49">
        <f t="shared" si="13"/>
        <v>916.66666666666674</v>
      </c>
      <c r="G49">
        <f t="shared" si="14"/>
        <v>916.66666666666674</v>
      </c>
      <c r="H49">
        <v>1333.333333333333</v>
      </c>
      <c r="I49">
        <v>0.41666666666666669</v>
      </c>
      <c r="J49">
        <v>0.5</v>
      </c>
      <c r="K49">
        <v>0.41666666666666669</v>
      </c>
      <c r="L49">
        <f t="shared" si="15"/>
        <v>0.91666666666666674</v>
      </c>
      <c r="M49">
        <f t="shared" si="16"/>
        <v>0.91666666666666674</v>
      </c>
      <c r="N49">
        <v>1.333333333333333</v>
      </c>
      <c r="O49">
        <f t="shared" si="4"/>
        <v>3.3333333333333326E-2</v>
      </c>
      <c r="P49">
        <f t="shared" si="5"/>
        <v>0</v>
      </c>
      <c r="Q49">
        <f t="shared" si="6"/>
        <v>0</v>
      </c>
      <c r="R49">
        <f t="shared" si="7"/>
        <v>0</v>
      </c>
      <c r="S49">
        <f t="shared" si="8"/>
        <v>3.3333333333333215E-2</v>
      </c>
      <c r="T49">
        <f t="shared" si="9"/>
        <v>0.16666666666666696</v>
      </c>
      <c r="U49">
        <f t="shared" si="10"/>
        <v>0.16996731711975979</v>
      </c>
      <c r="V49">
        <f t="shared" si="11"/>
        <v>3.3333333333333326E-2</v>
      </c>
      <c r="W49">
        <f t="shared" si="12"/>
        <v>0.16996731711975976</v>
      </c>
      <c r="X49">
        <v>0</v>
      </c>
      <c r="Y49">
        <v>38.4</v>
      </c>
      <c r="Z49">
        <v>86.399999999999991</v>
      </c>
      <c r="AA49">
        <v>40.799999999999997</v>
      </c>
      <c r="AB49">
        <v>15.800000000000241</v>
      </c>
      <c r="AC49">
        <v>3.7999999999997982</v>
      </c>
      <c r="AD49">
        <v>0</v>
      </c>
      <c r="AE49">
        <v>0.4</v>
      </c>
      <c r="AF49">
        <v>20</v>
      </c>
      <c r="AG49">
        <v>160</v>
      </c>
      <c r="AH49">
        <v>180</v>
      </c>
      <c r="AI49">
        <v>180</v>
      </c>
      <c r="AJ49">
        <v>0</v>
      </c>
      <c r="AK49">
        <v>0</v>
      </c>
      <c r="AL49">
        <v>0</v>
      </c>
      <c r="AM49">
        <v>0.8</v>
      </c>
      <c r="AN49">
        <v>31.600000000000481</v>
      </c>
      <c r="AO49">
        <v>7.5999999999995964</v>
      </c>
      <c r="AP49">
        <v>0</v>
      </c>
      <c r="AQ49">
        <v>0</v>
      </c>
    </row>
    <row r="50" spans="1:43" x14ac:dyDescent="0.2">
      <c r="A50">
        <v>314</v>
      </c>
      <c r="B50">
        <v>27.5</v>
      </c>
      <c r="C50">
        <v>416.66666666666669</v>
      </c>
      <c r="D50">
        <v>500</v>
      </c>
      <c r="E50">
        <v>416.66666666666669</v>
      </c>
      <c r="F50">
        <f t="shared" si="13"/>
        <v>916.66666666666674</v>
      </c>
      <c r="G50">
        <f t="shared" si="14"/>
        <v>916.66666666666674</v>
      </c>
      <c r="H50">
        <v>1333.333333333333</v>
      </c>
      <c r="I50">
        <v>0.45454545454545459</v>
      </c>
      <c r="J50">
        <v>0.54545454545454553</v>
      </c>
      <c r="K50">
        <v>0.45454545454545459</v>
      </c>
      <c r="L50">
        <f t="shared" si="15"/>
        <v>1.0000000000000002</v>
      </c>
      <c r="M50">
        <f t="shared" si="16"/>
        <v>1.0000000000000002</v>
      </c>
      <c r="N50">
        <v>1.454545454545455</v>
      </c>
      <c r="O50">
        <f t="shared" si="4"/>
        <v>0</v>
      </c>
      <c r="P50">
        <f t="shared" si="5"/>
        <v>0</v>
      </c>
      <c r="Q50">
        <f t="shared" si="6"/>
        <v>0</v>
      </c>
      <c r="R50">
        <f t="shared" si="7"/>
        <v>0</v>
      </c>
      <c r="S50">
        <f t="shared" si="8"/>
        <v>0</v>
      </c>
      <c r="T50">
        <f t="shared" si="9"/>
        <v>4.545454545454497E-2</v>
      </c>
      <c r="U50">
        <f t="shared" si="10"/>
        <v>4.545454545454497E-2</v>
      </c>
      <c r="V50">
        <f t="shared" si="11"/>
        <v>0</v>
      </c>
      <c r="W50">
        <f t="shared" si="12"/>
        <v>4.545454545454497E-2</v>
      </c>
      <c r="X50">
        <v>0</v>
      </c>
      <c r="Y50">
        <v>55.2</v>
      </c>
      <c r="Z50">
        <v>0</v>
      </c>
      <c r="AA50">
        <v>55.2</v>
      </c>
      <c r="AB50">
        <v>0</v>
      </c>
      <c r="AC50">
        <v>0.32727272727271262</v>
      </c>
      <c r="AD50">
        <v>5.1272727272727128</v>
      </c>
      <c r="AE50">
        <v>-1.212659602363904E-13</v>
      </c>
      <c r="AF50">
        <v>5.4545454545452827</v>
      </c>
      <c r="AG50">
        <v>174.54545454545459</v>
      </c>
      <c r="AH50">
        <v>179.9999999999998</v>
      </c>
      <c r="AI50">
        <v>180</v>
      </c>
      <c r="AJ50">
        <v>0</v>
      </c>
      <c r="AK50">
        <v>0.65454545454542512</v>
      </c>
      <c r="AL50">
        <v>0</v>
      </c>
      <c r="AM50">
        <v>-2.4253192047278091E-13</v>
      </c>
      <c r="AN50">
        <v>0</v>
      </c>
      <c r="AO50">
        <v>0</v>
      </c>
      <c r="AP50">
        <v>10.254545454545431</v>
      </c>
      <c r="AQ50">
        <v>0</v>
      </c>
    </row>
    <row r="51" spans="1:43" x14ac:dyDescent="0.2">
      <c r="A51">
        <v>314</v>
      </c>
      <c r="B51">
        <v>25</v>
      </c>
      <c r="C51">
        <v>416.66666666666669</v>
      </c>
      <c r="D51">
        <v>500</v>
      </c>
      <c r="E51">
        <v>416.66666666666669</v>
      </c>
      <c r="F51">
        <f t="shared" si="13"/>
        <v>916.66666666666674</v>
      </c>
      <c r="G51">
        <f t="shared" si="14"/>
        <v>916.66666666666674</v>
      </c>
      <c r="H51">
        <v>1333.333333333333</v>
      </c>
      <c r="I51">
        <v>0.5</v>
      </c>
      <c r="J51">
        <v>0.6</v>
      </c>
      <c r="K51">
        <v>0.5</v>
      </c>
      <c r="L51">
        <f t="shared" si="15"/>
        <v>1.1000000000000001</v>
      </c>
      <c r="M51">
        <f t="shared" si="16"/>
        <v>1.1000000000000001</v>
      </c>
      <c r="N51">
        <v>1.6</v>
      </c>
      <c r="O51">
        <f t="shared" si="4"/>
        <v>0</v>
      </c>
      <c r="P51">
        <f t="shared" si="5"/>
        <v>0</v>
      </c>
      <c r="Q51">
        <f t="shared" si="6"/>
        <v>0</v>
      </c>
      <c r="R51">
        <f t="shared" si="7"/>
        <v>0</v>
      </c>
      <c r="S51">
        <f t="shared" si="8"/>
        <v>5.0000000000000086E-2</v>
      </c>
      <c r="T51">
        <f t="shared" si="9"/>
        <v>0.10000000000000009</v>
      </c>
      <c r="U51">
        <f t="shared" si="10"/>
        <v>0.10000000000000009</v>
      </c>
      <c r="V51">
        <f t="shared" si="11"/>
        <v>0</v>
      </c>
      <c r="W51">
        <f t="shared" si="12"/>
        <v>0.11180339887498961</v>
      </c>
      <c r="X51">
        <v>0</v>
      </c>
      <c r="Y51">
        <v>48</v>
      </c>
      <c r="Z51">
        <v>0</v>
      </c>
      <c r="AA51">
        <v>70.8</v>
      </c>
      <c r="AB51">
        <v>2.2799999999999678</v>
      </c>
      <c r="AC51">
        <v>9.1199999999998713</v>
      </c>
      <c r="AD51">
        <v>0</v>
      </c>
      <c r="AE51">
        <v>0.6</v>
      </c>
      <c r="AF51">
        <v>11.999999999999829</v>
      </c>
      <c r="AG51">
        <v>192</v>
      </c>
      <c r="AH51">
        <v>203.9999999999998</v>
      </c>
      <c r="AI51">
        <v>180</v>
      </c>
      <c r="AJ51">
        <v>0</v>
      </c>
      <c r="AK51">
        <v>0</v>
      </c>
      <c r="AL51">
        <v>0</v>
      </c>
      <c r="AM51">
        <v>1.2</v>
      </c>
      <c r="AN51">
        <v>4.5599999999999357</v>
      </c>
      <c r="AO51">
        <v>18.239999999999739</v>
      </c>
      <c r="AP51">
        <v>0</v>
      </c>
      <c r="AQ51">
        <v>0</v>
      </c>
    </row>
    <row r="52" spans="1:43" x14ac:dyDescent="0.2">
      <c r="A52">
        <v>314</v>
      </c>
      <c r="B52">
        <v>22.5</v>
      </c>
      <c r="C52">
        <v>416.66666666666669</v>
      </c>
      <c r="D52">
        <v>500</v>
      </c>
      <c r="E52">
        <v>416.66666666666669</v>
      </c>
      <c r="F52">
        <f t="shared" si="13"/>
        <v>916.66666666666674</v>
      </c>
      <c r="G52">
        <f t="shared" si="14"/>
        <v>916.66666666666674</v>
      </c>
      <c r="H52">
        <v>1333.333333333333</v>
      </c>
      <c r="I52">
        <v>0.55555555555555558</v>
      </c>
      <c r="J52">
        <v>0.66666666666666663</v>
      </c>
      <c r="K52">
        <v>0.55555555555555558</v>
      </c>
      <c r="L52">
        <f t="shared" si="15"/>
        <v>1.2222222222222223</v>
      </c>
      <c r="M52">
        <f t="shared" si="16"/>
        <v>1.2222222222222223</v>
      </c>
      <c r="N52">
        <v>1.7777777777777779</v>
      </c>
      <c r="O52">
        <f t="shared" si="4"/>
        <v>5.5555555555555358E-3</v>
      </c>
      <c r="P52">
        <f t="shared" si="5"/>
        <v>1.6666666666666607E-2</v>
      </c>
      <c r="Q52">
        <f t="shared" si="6"/>
        <v>0</v>
      </c>
      <c r="R52">
        <f t="shared" si="7"/>
        <v>0.12222222222222232</v>
      </c>
      <c r="S52">
        <f t="shared" si="8"/>
        <v>0.17222222222222233</v>
      </c>
      <c r="T52">
        <f t="shared" si="9"/>
        <v>0.2222222222222221</v>
      </c>
      <c r="U52">
        <f t="shared" si="10"/>
        <v>0.22229165581936161</v>
      </c>
      <c r="V52">
        <f t="shared" si="11"/>
        <v>1.7568209223157601E-2</v>
      </c>
      <c r="W52">
        <f t="shared" si="12"/>
        <v>0.30656399247380878</v>
      </c>
      <c r="X52">
        <v>0</v>
      </c>
      <c r="Y52">
        <v>55.2</v>
      </c>
      <c r="Z52">
        <v>3.6</v>
      </c>
      <c r="AA52">
        <v>93.6</v>
      </c>
      <c r="AB52">
        <v>5.3066666666668931</v>
      </c>
      <c r="AC52">
        <v>17.42666666666652</v>
      </c>
      <c r="AD52">
        <v>3.799999999999959</v>
      </c>
      <c r="AE52">
        <v>0.13333333333325251</v>
      </c>
      <c r="AF52">
        <v>26.6666666666666</v>
      </c>
      <c r="AG52">
        <v>213.3333333333334</v>
      </c>
      <c r="AH52">
        <v>240</v>
      </c>
      <c r="AI52">
        <v>180</v>
      </c>
      <c r="AJ52">
        <v>0</v>
      </c>
      <c r="AK52">
        <v>0</v>
      </c>
      <c r="AL52">
        <v>0</v>
      </c>
      <c r="AM52">
        <v>0.26666666666650501</v>
      </c>
      <c r="AN52">
        <v>10.61333333333379</v>
      </c>
      <c r="AO52">
        <v>34.85333333333304</v>
      </c>
      <c r="AP52">
        <v>7.5999999999999188</v>
      </c>
      <c r="AQ52">
        <v>0</v>
      </c>
    </row>
    <row r="53" spans="1:43" x14ac:dyDescent="0.2">
      <c r="A53">
        <v>314</v>
      </c>
      <c r="B53">
        <v>20</v>
      </c>
      <c r="C53">
        <v>416.66666666666669</v>
      </c>
      <c r="D53">
        <v>500</v>
      </c>
      <c r="E53">
        <v>416.66666666666669</v>
      </c>
      <c r="F53">
        <f t="shared" si="13"/>
        <v>916.66666666666674</v>
      </c>
      <c r="G53">
        <f t="shared" si="14"/>
        <v>916.66666666666674</v>
      </c>
      <c r="H53">
        <v>1333.333333333333</v>
      </c>
      <c r="I53">
        <v>0.62500000000000011</v>
      </c>
      <c r="J53">
        <v>0.75</v>
      </c>
      <c r="K53">
        <v>0.62500000000000011</v>
      </c>
      <c r="L53">
        <f t="shared" si="15"/>
        <v>1.3750000000000002</v>
      </c>
      <c r="M53">
        <f t="shared" si="16"/>
        <v>1.3750000000000002</v>
      </c>
      <c r="N53">
        <v>2</v>
      </c>
      <c r="O53">
        <f t="shared" si="4"/>
        <v>7.5000000000000067E-2</v>
      </c>
      <c r="P53">
        <f t="shared" si="5"/>
        <v>9.9999999999999978E-2</v>
      </c>
      <c r="Q53">
        <f t="shared" si="6"/>
        <v>2.5000000000000133E-2</v>
      </c>
      <c r="R53">
        <f t="shared" si="7"/>
        <v>2.49999999999998E-2</v>
      </c>
      <c r="S53">
        <f t="shared" si="8"/>
        <v>7.4999999999999789E-2</v>
      </c>
      <c r="T53">
        <f t="shared" si="9"/>
        <v>0</v>
      </c>
      <c r="U53">
        <f t="shared" si="10"/>
        <v>7.5000000000000067E-2</v>
      </c>
      <c r="V53">
        <f t="shared" si="11"/>
        <v>0.12747548783981968</v>
      </c>
      <c r="W53">
        <f t="shared" si="12"/>
        <v>7.9056941504209222E-2</v>
      </c>
      <c r="X53">
        <v>0</v>
      </c>
      <c r="Y53">
        <v>62.4</v>
      </c>
      <c r="Z53">
        <v>43.2</v>
      </c>
      <c r="AA53">
        <v>118.8</v>
      </c>
      <c r="AB53">
        <v>8.5799999999998864</v>
      </c>
      <c r="AC53">
        <v>13.080000000000011</v>
      </c>
      <c r="AD53">
        <v>2.034000000000014</v>
      </c>
      <c r="AE53">
        <v>0.30599999999928212</v>
      </c>
      <c r="AF53">
        <v>23.999999999999229</v>
      </c>
      <c r="AG53">
        <v>240</v>
      </c>
      <c r="AH53">
        <v>263.9999999999992</v>
      </c>
      <c r="AI53">
        <v>180</v>
      </c>
      <c r="AJ53">
        <v>0</v>
      </c>
      <c r="AK53">
        <v>0.47999999999988679</v>
      </c>
      <c r="AL53">
        <v>0.10800000000001291</v>
      </c>
      <c r="AM53">
        <v>0.61199999999856425</v>
      </c>
      <c r="AN53">
        <v>17.159999999999769</v>
      </c>
      <c r="AO53">
        <v>25.680000000000131</v>
      </c>
      <c r="AP53">
        <v>3.960000000000016</v>
      </c>
      <c r="AQ53">
        <v>0</v>
      </c>
    </row>
    <row r="54" spans="1:43" x14ac:dyDescent="0.2">
      <c r="A54">
        <v>321</v>
      </c>
      <c r="B54">
        <v>50</v>
      </c>
      <c r="C54">
        <v>416.66666666666669</v>
      </c>
      <c r="D54">
        <v>833.33333333333337</v>
      </c>
      <c r="E54">
        <v>416.66666666666669</v>
      </c>
      <c r="F54">
        <f t="shared" si="13"/>
        <v>1250</v>
      </c>
      <c r="G54">
        <f t="shared" si="14"/>
        <v>1250</v>
      </c>
      <c r="H54">
        <v>1666.666666666667</v>
      </c>
      <c r="I54">
        <v>0.25</v>
      </c>
      <c r="J54">
        <v>0.5</v>
      </c>
      <c r="K54">
        <v>0.25</v>
      </c>
      <c r="L54">
        <f t="shared" si="15"/>
        <v>0.75</v>
      </c>
      <c r="M54">
        <f t="shared" si="16"/>
        <v>0.75</v>
      </c>
      <c r="N54">
        <v>1</v>
      </c>
      <c r="O54">
        <f t="shared" si="4"/>
        <v>0.2</v>
      </c>
      <c r="P54">
        <f t="shared" si="5"/>
        <v>0</v>
      </c>
      <c r="Q54">
        <f t="shared" si="6"/>
        <v>0.15</v>
      </c>
      <c r="R54">
        <f t="shared" si="7"/>
        <v>0.15000000000000002</v>
      </c>
      <c r="S54">
        <f t="shared" si="8"/>
        <v>0.19999999999999996</v>
      </c>
      <c r="T54">
        <f t="shared" si="9"/>
        <v>0</v>
      </c>
      <c r="U54">
        <f t="shared" si="10"/>
        <v>0.2</v>
      </c>
      <c r="V54">
        <f t="shared" si="11"/>
        <v>0.25</v>
      </c>
      <c r="W54">
        <f t="shared" si="12"/>
        <v>0.24999999999999997</v>
      </c>
      <c r="X54">
        <v>0</v>
      </c>
      <c r="Y54">
        <v>16.8</v>
      </c>
      <c r="Z54">
        <v>87.6</v>
      </c>
      <c r="AA54">
        <v>118.8</v>
      </c>
      <c r="AB54">
        <v>23.39999999999992</v>
      </c>
      <c r="AC54">
        <v>13.32000000000011</v>
      </c>
      <c r="AD54">
        <v>11.26799999999999</v>
      </c>
      <c r="AE54">
        <v>1.199999999961518E-2</v>
      </c>
      <c r="AF54">
        <v>47.999999999999517</v>
      </c>
      <c r="AG54">
        <v>120</v>
      </c>
      <c r="AH54">
        <v>167.99999999999949</v>
      </c>
      <c r="AI54">
        <v>180</v>
      </c>
      <c r="AJ54">
        <v>0</v>
      </c>
      <c r="AK54">
        <v>0.960000000000097</v>
      </c>
      <c r="AL54">
        <v>0.21600000000002589</v>
      </c>
      <c r="AM54">
        <v>2.399999999923037E-2</v>
      </c>
      <c r="AN54">
        <v>46.799999999999841</v>
      </c>
      <c r="AO54">
        <v>25.680000000000131</v>
      </c>
      <c r="AP54">
        <v>22.319999999999951</v>
      </c>
      <c r="AQ54">
        <v>0</v>
      </c>
    </row>
    <row r="55" spans="1:43" x14ac:dyDescent="0.2">
      <c r="A55">
        <v>321</v>
      </c>
      <c r="B55">
        <v>47.5</v>
      </c>
      <c r="C55">
        <v>416.66666666666669</v>
      </c>
      <c r="D55">
        <v>833.33333333333337</v>
      </c>
      <c r="E55">
        <v>416.66666666666669</v>
      </c>
      <c r="F55">
        <f t="shared" si="13"/>
        <v>1250</v>
      </c>
      <c r="G55">
        <f t="shared" si="14"/>
        <v>1250</v>
      </c>
      <c r="H55">
        <v>1666.666666666667</v>
      </c>
      <c r="I55">
        <v>0.26315789473684209</v>
      </c>
      <c r="J55">
        <v>0.52631578947368429</v>
      </c>
      <c r="K55">
        <v>0.26315789473684209</v>
      </c>
      <c r="L55">
        <f t="shared" si="15"/>
        <v>0.78947368421052633</v>
      </c>
      <c r="M55">
        <f t="shared" si="16"/>
        <v>0.78947368421052633</v>
      </c>
      <c r="N55">
        <v>1.052631578947369</v>
      </c>
      <c r="O55">
        <f t="shared" si="4"/>
        <v>0.18684210526315792</v>
      </c>
      <c r="P55">
        <f t="shared" si="5"/>
        <v>0</v>
      </c>
      <c r="Q55">
        <f t="shared" si="6"/>
        <v>0.13684210526315793</v>
      </c>
      <c r="R55">
        <f t="shared" si="7"/>
        <v>0.11052631578947369</v>
      </c>
      <c r="S55">
        <f t="shared" si="8"/>
        <v>0.16052631578947363</v>
      </c>
      <c r="T55">
        <f t="shared" si="9"/>
        <v>5.2631578947369029E-2</v>
      </c>
      <c r="U55">
        <f t="shared" si="10"/>
        <v>0.19411351164115836</v>
      </c>
      <c r="V55">
        <f t="shared" si="11"/>
        <v>0.2315938990388611</v>
      </c>
      <c r="W55">
        <f t="shared" si="12"/>
        <v>0.20187829909484925</v>
      </c>
      <c r="X55">
        <v>0</v>
      </c>
      <c r="Y55">
        <v>8.4</v>
      </c>
      <c r="Z55">
        <v>86.399999999999991</v>
      </c>
      <c r="AA55">
        <v>118.8</v>
      </c>
      <c r="AB55">
        <v>19.6107257617724</v>
      </c>
      <c r="AC55">
        <v>10.288221606648261</v>
      </c>
      <c r="AD55">
        <v>14.532631578947459</v>
      </c>
      <c r="AE55">
        <v>0.41052631578944182</v>
      </c>
      <c r="AF55">
        <v>44.842105263157208</v>
      </c>
      <c r="AG55">
        <v>126.31578947368421</v>
      </c>
      <c r="AH55">
        <v>171.1578947368414</v>
      </c>
      <c r="AI55">
        <v>180</v>
      </c>
      <c r="AJ55">
        <v>0</v>
      </c>
      <c r="AK55">
        <v>8.94315789473686</v>
      </c>
      <c r="AL55">
        <v>5.0778947368422651</v>
      </c>
      <c r="AM55">
        <v>0.82105263157888353</v>
      </c>
      <c r="AN55">
        <v>39.2214515235448</v>
      </c>
      <c r="AO55">
        <v>11.633285318559659</v>
      </c>
      <c r="AP55">
        <v>23.987368421052651</v>
      </c>
      <c r="AQ55">
        <v>0</v>
      </c>
    </row>
    <row r="56" spans="1:43" x14ac:dyDescent="0.2">
      <c r="A56">
        <v>321</v>
      </c>
      <c r="B56">
        <v>45</v>
      </c>
      <c r="C56">
        <v>416.66666666666669</v>
      </c>
      <c r="D56">
        <v>833.33333333333337</v>
      </c>
      <c r="E56">
        <v>416.66666666666669</v>
      </c>
      <c r="F56">
        <f t="shared" si="13"/>
        <v>1250</v>
      </c>
      <c r="G56">
        <f t="shared" si="14"/>
        <v>1250</v>
      </c>
      <c r="H56">
        <v>1666.666666666667</v>
      </c>
      <c r="I56">
        <v>0.27777777777777779</v>
      </c>
      <c r="J56">
        <v>0.55555555555555558</v>
      </c>
      <c r="K56">
        <v>0.27777777777777779</v>
      </c>
      <c r="L56">
        <f t="shared" si="15"/>
        <v>0.83333333333333337</v>
      </c>
      <c r="M56">
        <f t="shared" si="16"/>
        <v>0.83333333333333337</v>
      </c>
      <c r="N56">
        <v>1.1111111111111109</v>
      </c>
      <c r="O56">
        <f t="shared" si="4"/>
        <v>0.17222222222222222</v>
      </c>
      <c r="P56">
        <f t="shared" si="5"/>
        <v>0</v>
      </c>
      <c r="Q56">
        <f t="shared" si="6"/>
        <v>0.12222222222222223</v>
      </c>
      <c r="R56">
        <f t="shared" si="7"/>
        <v>6.6666666666666652E-2</v>
      </c>
      <c r="S56">
        <f t="shared" si="8"/>
        <v>0.11666666666666659</v>
      </c>
      <c r="T56">
        <f t="shared" si="9"/>
        <v>0.11111111111111094</v>
      </c>
      <c r="U56">
        <f t="shared" si="10"/>
        <v>0.20495407495218565</v>
      </c>
      <c r="V56">
        <f t="shared" si="11"/>
        <v>0.21118419787498013</v>
      </c>
      <c r="W56">
        <f t="shared" si="12"/>
        <v>0.17435949807194667</v>
      </c>
      <c r="X56">
        <v>0</v>
      </c>
      <c r="Y56">
        <v>9.6</v>
      </c>
      <c r="Z56">
        <v>91.2</v>
      </c>
      <c r="AA56">
        <v>4.8</v>
      </c>
      <c r="AB56">
        <v>17.459555555555639</v>
      </c>
      <c r="AC56">
        <v>8.2204444444443254</v>
      </c>
      <c r="AD56">
        <v>15.520000000000071</v>
      </c>
      <c r="AE56">
        <v>0.13333333333329289</v>
      </c>
      <c r="AF56">
        <v>41.333333333333158</v>
      </c>
      <c r="AG56">
        <v>133.33333333333329</v>
      </c>
      <c r="AH56">
        <v>174.66666666666649</v>
      </c>
      <c r="AI56">
        <v>180</v>
      </c>
      <c r="AJ56">
        <v>0</v>
      </c>
      <c r="AK56">
        <v>9.386666666666537</v>
      </c>
      <c r="AL56">
        <v>5.280000000000129</v>
      </c>
      <c r="AM56">
        <v>0.26666666666658578</v>
      </c>
      <c r="AN56">
        <v>34.919111111111278</v>
      </c>
      <c r="AO56">
        <v>7.054222222222112</v>
      </c>
      <c r="AP56">
        <v>25.760000000000019</v>
      </c>
      <c r="AQ56">
        <v>0</v>
      </c>
    </row>
    <row r="57" spans="1:43" x14ac:dyDescent="0.2">
      <c r="A57">
        <v>321</v>
      </c>
      <c r="B57">
        <v>42.5</v>
      </c>
      <c r="C57">
        <v>416.66666666666669</v>
      </c>
      <c r="D57">
        <v>833.33333333333337</v>
      </c>
      <c r="E57">
        <v>416.66666666666669</v>
      </c>
      <c r="F57">
        <f t="shared" si="13"/>
        <v>1250</v>
      </c>
      <c r="G57">
        <f t="shared" si="14"/>
        <v>1250</v>
      </c>
      <c r="H57">
        <v>1666.666666666667</v>
      </c>
      <c r="I57">
        <v>0.29411764705882348</v>
      </c>
      <c r="J57">
        <v>0.58823529411764708</v>
      </c>
      <c r="K57">
        <v>0.29411764705882348</v>
      </c>
      <c r="L57">
        <f t="shared" si="15"/>
        <v>0.88235294117647056</v>
      </c>
      <c r="M57">
        <f t="shared" si="16"/>
        <v>0.88235294117647056</v>
      </c>
      <c r="N57">
        <v>1.1764705882352939</v>
      </c>
      <c r="O57">
        <f t="shared" si="4"/>
        <v>0.15588235294117653</v>
      </c>
      <c r="P57">
        <f t="shared" si="5"/>
        <v>0</v>
      </c>
      <c r="Q57">
        <f t="shared" si="6"/>
        <v>0.10588235294117654</v>
      </c>
      <c r="R57">
        <f t="shared" si="7"/>
        <v>1.764705882352946E-2</v>
      </c>
      <c r="S57">
        <f t="shared" si="8"/>
        <v>6.7647058823529393E-2</v>
      </c>
      <c r="T57">
        <f t="shared" si="9"/>
        <v>0.17647058823529393</v>
      </c>
      <c r="U57">
        <f t="shared" si="10"/>
        <v>0.23545950070147559</v>
      </c>
      <c r="V57">
        <f t="shared" si="11"/>
        <v>0.18844198211342769</v>
      </c>
      <c r="W57">
        <f t="shared" si="12"/>
        <v>0.18981415059132398</v>
      </c>
      <c r="X57">
        <v>0</v>
      </c>
      <c r="Y57">
        <v>73.2</v>
      </c>
      <c r="Z57">
        <v>25.2</v>
      </c>
      <c r="AA57">
        <v>62.4</v>
      </c>
      <c r="AB57">
        <v>1.2743667820067559</v>
      </c>
      <c r="AC57">
        <v>21.342103806228419</v>
      </c>
      <c r="AD57">
        <v>15.25411764705883</v>
      </c>
      <c r="AE57">
        <v>0.95294117647063104</v>
      </c>
      <c r="AF57">
        <v>38.823529411764447</v>
      </c>
      <c r="AG57">
        <v>141.1764705882353</v>
      </c>
      <c r="AH57">
        <v>179.9999999999998</v>
      </c>
      <c r="AI57">
        <v>180</v>
      </c>
      <c r="AJ57">
        <v>0</v>
      </c>
      <c r="AK57">
        <v>37.905882352941177</v>
      </c>
      <c r="AL57">
        <v>1.4117647058823619</v>
      </c>
      <c r="AM57">
        <v>1.9058823529412621</v>
      </c>
      <c r="AN57">
        <v>2.5487335640135118</v>
      </c>
      <c r="AO57">
        <v>4.7783252595156629</v>
      </c>
      <c r="AP57">
        <v>29.096470588235309</v>
      </c>
      <c r="AQ57">
        <v>0</v>
      </c>
    </row>
    <row r="58" spans="1:43" x14ac:dyDescent="0.2">
      <c r="A58">
        <v>321</v>
      </c>
      <c r="B58">
        <v>40</v>
      </c>
      <c r="C58">
        <v>416.66666666666669</v>
      </c>
      <c r="D58">
        <v>833.33333333333337</v>
      </c>
      <c r="E58">
        <v>416.66666666666669</v>
      </c>
      <c r="F58">
        <f t="shared" si="13"/>
        <v>1250</v>
      </c>
      <c r="G58">
        <f t="shared" si="14"/>
        <v>1250</v>
      </c>
      <c r="H58">
        <v>1666.666666666667</v>
      </c>
      <c r="I58">
        <v>0.31250000000000011</v>
      </c>
      <c r="J58">
        <v>0.62500000000000011</v>
      </c>
      <c r="K58">
        <v>0.31250000000000011</v>
      </c>
      <c r="L58">
        <f t="shared" si="15"/>
        <v>0.9375</v>
      </c>
      <c r="M58">
        <f t="shared" si="16"/>
        <v>0.9375</v>
      </c>
      <c r="N58">
        <v>1.25</v>
      </c>
      <c r="O58">
        <f t="shared" si="4"/>
        <v>0.1374999999999999</v>
      </c>
      <c r="P58">
        <f t="shared" si="5"/>
        <v>0</v>
      </c>
      <c r="Q58">
        <f t="shared" si="6"/>
        <v>8.7499999999999911E-2</v>
      </c>
      <c r="R58">
        <f t="shared" si="7"/>
        <v>0</v>
      </c>
      <c r="S58">
        <f t="shared" si="8"/>
        <v>1.2499999999999956E-2</v>
      </c>
      <c r="T58">
        <f t="shared" si="9"/>
        <v>0.25</v>
      </c>
      <c r="U58">
        <f t="shared" si="10"/>
        <v>0.28531780526283312</v>
      </c>
      <c r="V58">
        <f t="shared" si="11"/>
        <v>0.16298006013006608</v>
      </c>
      <c r="W58">
        <f t="shared" si="12"/>
        <v>0.25031230493125983</v>
      </c>
      <c r="X58">
        <v>0</v>
      </c>
      <c r="Y58">
        <v>32.4</v>
      </c>
      <c r="Z58">
        <v>88.8</v>
      </c>
      <c r="AA58">
        <v>30</v>
      </c>
      <c r="AB58">
        <v>19.350000000000001</v>
      </c>
      <c r="AC58">
        <v>0</v>
      </c>
      <c r="AD58">
        <v>10.65</v>
      </c>
      <c r="AE58">
        <v>0</v>
      </c>
      <c r="AF58">
        <v>30</v>
      </c>
      <c r="AG58">
        <v>150</v>
      </c>
      <c r="AH58">
        <v>180</v>
      </c>
      <c r="AI58">
        <v>180</v>
      </c>
      <c r="AJ58">
        <v>0</v>
      </c>
      <c r="AK58">
        <v>0</v>
      </c>
      <c r="AL58">
        <v>0</v>
      </c>
      <c r="AM58">
        <v>0</v>
      </c>
      <c r="AN58">
        <v>38.700000000000003</v>
      </c>
      <c r="AO58">
        <v>0</v>
      </c>
      <c r="AP58">
        <v>21.3</v>
      </c>
      <c r="AQ58">
        <v>0</v>
      </c>
    </row>
    <row r="59" spans="1:43" x14ac:dyDescent="0.2">
      <c r="A59">
        <v>321</v>
      </c>
      <c r="B59">
        <v>37.5</v>
      </c>
      <c r="C59">
        <v>416.66666666666669</v>
      </c>
      <c r="D59">
        <v>833.33333333333337</v>
      </c>
      <c r="E59">
        <v>416.66666666666669</v>
      </c>
      <c r="F59">
        <f t="shared" si="13"/>
        <v>1250</v>
      </c>
      <c r="G59">
        <f t="shared" si="14"/>
        <v>1250</v>
      </c>
      <c r="H59">
        <v>1666.666666666667</v>
      </c>
      <c r="I59">
        <v>0.33333333333333343</v>
      </c>
      <c r="J59">
        <v>0.66666666666666674</v>
      </c>
      <c r="K59">
        <v>0.33333333333333343</v>
      </c>
      <c r="L59">
        <f t="shared" si="15"/>
        <v>1</v>
      </c>
      <c r="M59">
        <f t="shared" si="16"/>
        <v>1</v>
      </c>
      <c r="N59">
        <v>1.333333333333333</v>
      </c>
      <c r="O59">
        <f t="shared" si="4"/>
        <v>0.11666666666666659</v>
      </c>
      <c r="P59">
        <f t="shared" si="5"/>
        <v>1.6666666666666718E-2</v>
      </c>
      <c r="Q59">
        <f t="shared" si="6"/>
        <v>6.6666666666666596E-2</v>
      </c>
      <c r="R59">
        <f t="shared" si="7"/>
        <v>0</v>
      </c>
      <c r="S59">
        <f t="shared" si="8"/>
        <v>0</v>
      </c>
      <c r="T59">
        <f t="shared" si="9"/>
        <v>0.16666666666666696</v>
      </c>
      <c r="U59">
        <f t="shared" si="10"/>
        <v>0.20344259359556191</v>
      </c>
      <c r="V59">
        <f t="shared" si="11"/>
        <v>0.1354006400772659</v>
      </c>
      <c r="W59">
        <f t="shared" si="12"/>
        <v>0.16666666666666696</v>
      </c>
      <c r="X59">
        <v>0</v>
      </c>
      <c r="Y59">
        <v>52.8</v>
      </c>
      <c r="Z59">
        <v>105.6</v>
      </c>
      <c r="AA59">
        <v>52.8</v>
      </c>
      <c r="AB59">
        <v>7.6800000000000077</v>
      </c>
      <c r="AC59">
        <v>6.7200000000001134</v>
      </c>
      <c r="AD59">
        <v>7.3599999999998547</v>
      </c>
      <c r="AE59">
        <v>2.2399999999995388</v>
      </c>
      <c r="AF59">
        <v>23.999999999999531</v>
      </c>
      <c r="AG59">
        <v>160</v>
      </c>
      <c r="AH59">
        <v>183.99999999999949</v>
      </c>
      <c r="AI59">
        <v>180</v>
      </c>
      <c r="AJ59">
        <v>0</v>
      </c>
      <c r="AK59">
        <v>12.8</v>
      </c>
      <c r="AL59">
        <v>1.9199999999998709</v>
      </c>
      <c r="AM59">
        <v>4.4799999999990776</v>
      </c>
      <c r="AN59">
        <v>15.360000000000021</v>
      </c>
      <c r="AO59">
        <v>0.64000000000022639</v>
      </c>
      <c r="AP59">
        <v>12.799999999999841</v>
      </c>
      <c r="AQ59">
        <v>0</v>
      </c>
    </row>
    <row r="60" spans="1:43" x14ac:dyDescent="0.2">
      <c r="A60">
        <v>321</v>
      </c>
      <c r="B60">
        <v>35</v>
      </c>
      <c r="C60">
        <v>416.66666666666669</v>
      </c>
      <c r="D60">
        <v>833.33333333333337</v>
      </c>
      <c r="E60">
        <v>416.66666666666669</v>
      </c>
      <c r="F60">
        <f t="shared" si="13"/>
        <v>1250</v>
      </c>
      <c r="G60">
        <f t="shared" si="14"/>
        <v>1250</v>
      </c>
      <c r="H60">
        <v>1666.666666666667</v>
      </c>
      <c r="I60">
        <v>0.35714285714285721</v>
      </c>
      <c r="J60">
        <v>0.7142857142857143</v>
      </c>
      <c r="K60">
        <v>0.35714285714285721</v>
      </c>
      <c r="L60">
        <f t="shared" si="15"/>
        <v>1.0714285714285714</v>
      </c>
      <c r="M60">
        <f t="shared" si="16"/>
        <v>1.0714285714285714</v>
      </c>
      <c r="N60">
        <v>1.428571428571429</v>
      </c>
      <c r="O60">
        <f t="shared" si="4"/>
        <v>9.2857142857142805E-2</v>
      </c>
      <c r="P60">
        <f t="shared" si="5"/>
        <v>6.4285714285714279E-2</v>
      </c>
      <c r="Q60">
        <f t="shared" si="6"/>
        <v>4.2857142857142816E-2</v>
      </c>
      <c r="R60">
        <f t="shared" si="7"/>
        <v>0</v>
      </c>
      <c r="S60">
        <f t="shared" si="8"/>
        <v>2.1428571428571394E-2</v>
      </c>
      <c r="T60">
        <f t="shared" si="9"/>
        <v>7.1428571428570953E-2</v>
      </c>
      <c r="U60">
        <f t="shared" si="10"/>
        <v>0.11715156762040485</v>
      </c>
      <c r="V60">
        <f t="shared" si="11"/>
        <v>0.12079667518062683</v>
      </c>
      <c r="W60">
        <f t="shared" si="12"/>
        <v>7.4573617920789176E-2</v>
      </c>
      <c r="X60">
        <v>0</v>
      </c>
      <c r="Y60">
        <v>61.2</v>
      </c>
      <c r="Z60">
        <v>2.4</v>
      </c>
      <c r="AA60">
        <v>79.2</v>
      </c>
      <c r="AB60">
        <v>3.4628571428571169</v>
      </c>
      <c r="AC60">
        <v>15.137142857142839</v>
      </c>
      <c r="AD60">
        <v>0.32571428571423489</v>
      </c>
      <c r="AE60">
        <v>5.0742857142856854</v>
      </c>
      <c r="AF60">
        <v>23.99999999999962</v>
      </c>
      <c r="AG60">
        <v>171.42857142857139</v>
      </c>
      <c r="AH60">
        <v>195.42857142857099</v>
      </c>
      <c r="AI60">
        <v>180</v>
      </c>
      <c r="AJ60">
        <v>0</v>
      </c>
      <c r="AK60">
        <v>18.34285714285717</v>
      </c>
      <c r="AL60">
        <v>0.3085714285713847</v>
      </c>
      <c r="AM60">
        <v>10.148571428571371</v>
      </c>
      <c r="AN60">
        <v>6.9257142857142346</v>
      </c>
      <c r="AO60">
        <v>11.931428571428521</v>
      </c>
      <c r="AP60">
        <v>0.34285714285708507</v>
      </c>
      <c r="AQ60">
        <v>0</v>
      </c>
    </row>
    <row r="61" spans="1:43" x14ac:dyDescent="0.2">
      <c r="A61">
        <v>321</v>
      </c>
      <c r="B61">
        <v>32.5</v>
      </c>
      <c r="C61">
        <v>416.66666666666669</v>
      </c>
      <c r="D61">
        <v>833.33333333333337</v>
      </c>
      <c r="E61">
        <v>416.66666666666669</v>
      </c>
      <c r="F61">
        <f t="shared" si="13"/>
        <v>1250</v>
      </c>
      <c r="G61">
        <f t="shared" si="14"/>
        <v>1250</v>
      </c>
      <c r="H61">
        <v>1666.666666666667</v>
      </c>
      <c r="I61">
        <v>0.38461538461538458</v>
      </c>
      <c r="J61">
        <v>0.76923076923076927</v>
      </c>
      <c r="K61">
        <v>0.38461538461538458</v>
      </c>
      <c r="L61">
        <f t="shared" si="15"/>
        <v>1.153846153846154</v>
      </c>
      <c r="M61">
        <f t="shared" si="16"/>
        <v>1.153846153846154</v>
      </c>
      <c r="N61">
        <v>1.538461538461539</v>
      </c>
      <c r="O61">
        <f t="shared" si="4"/>
        <v>6.538461538461543E-2</v>
      </c>
      <c r="P61">
        <f t="shared" si="5"/>
        <v>8.0769230769230704E-2</v>
      </c>
      <c r="Q61">
        <f t="shared" si="6"/>
        <v>1.5384615384615441E-2</v>
      </c>
      <c r="R61">
        <f t="shared" si="7"/>
        <v>5.384615384615396E-2</v>
      </c>
      <c r="S61">
        <f t="shared" si="8"/>
        <v>0.10384615384615396</v>
      </c>
      <c r="T61">
        <f t="shared" si="9"/>
        <v>3.8461538461538991E-2</v>
      </c>
      <c r="U61">
        <f t="shared" si="10"/>
        <v>7.5858011243523468E-2</v>
      </c>
      <c r="V61">
        <f t="shared" si="11"/>
        <v>0.10505000218267432</v>
      </c>
      <c r="W61">
        <f t="shared" si="12"/>
        <v>0.12313700456601663</v>
      </c>
      <c r="X61">
        <v>0</v>
      </c>
      <c r="Y61">
        <v>55.2</v>
      </c>
      <c r="Z61">
        <v>2.4</v>
      </c>
      <c r="AA61">
        <v>73.2</v>
      </c>
      <c r="AB61">
        <v>6.0738461538462918</v>
      </c>
      <c r="AC61">
        <v>15.52615384615355</v>
      </c>
      <c r="AD61">
        <v>1.8553846153846181</v>
      </c>
      <c r="AE61">
        <v>0.54461538461538217</v>
      </c>
      <c r="AF61">
        <v>23.999999999999631</v>
      </c>
      <c r="AG61">
        <v>184.61538461538461</v>
      </c>
      <c r="AH61">
        <v>208.6153846153843</v>
      </c>
      <c r="AI61">
        <v>180</v>
      </c>
      <c r="AJ61">
        <v>0</v>
      </c>
      <c r="AK61">
        <v>9.0461538461538211</v>
      </c>
      <c r="AL61">
        <v>0.66461538461541447</v>
      </c>
      <c r="AM61">
        <v>1.0892307692307639</v>
      </c>
      <c r="AN61">
        <v>12.14769230769258</v>
      </c>
      <c r="AO61">
        <v>22.006153846153271</v>
      </c>
      <c r="AP61">
        <v>3.0461538461538211</v>
      </c>
      <c r="AQ61">
        <v>0</v>
      </c>
    </row>
    <row r="62" spans="1:43" x14ac:dyDescent="0.2">
      <c r="A62">
        <v>321</v>
      </c>
      <c r="B62">
        <v>30</v>
      </c>
      <c r="C62">
        <v>416.66666666666669</v>
      </c>
      <c r="D62">
        <v>833.33333333333337</v>
      </c>
      <c r="E62">
        <v>416.66666666666669</v>
      </c>
      <c r="F62">
        <f t="shared" si="13"/>
        <v>1250</v>
      </c>
      <c r="G62">
        <f t="shared" si="14"/>
        <v>1250</v>
      </c>
      <c r="H62">
        <v>1666.666666666667</v>
      </c>
      <c r="I62">
        <v>0.41666666666666669</v>
      </c>
      <c r="J62">
        <v>0.83333333333333337</v>
      </c>
      <c r="K62">
        <v>0.41666666666666669</v>
      </c>
      <c r="L62">
        <f t="shared" si="15"/>
        <v>1.25</v>
      </c>
      <c r="M62">
        <f t="shared" si="16"/>
        <v>1.25</v>
      </c>
      <c r="N62">
        <v>1.666666666666667</v>
      </c>
      <c r="O62">
        <f t="shared" si="4"/>
        <v>3.3333333333333326E-2</v>
      </c>
      <c r="P62">
        <f t="shared" si="5"/>
        <v>1.6666666666666607E-2</v>
      </c>
      <c r="Q62">
        <f t="shared" si="6"/>
        <v>0</v>
      </c>
      <c r="R62">
        <f t="shared" si="7"/>
        <v>0.15</v>
      </c>
      <c r="S62">
        <f t="shared" si="8"/>
        <v>0.2</v>
      </c>
      <c r="T62">
        <f t="shared" si="9"/>
        <v>0.16666666666666696</v>
      </c>
      <c r="U62">
        <f t="shared" si="10"/>
        <v>0.16996731711975979</v>
      </c>
      <c r="V62">
        <f t="shared" si="11"/>
        <v>3.7267799624996462E-2</v>
      </c>
      <c r="W62">
        <f t="shared" si="12"/>
        <v>0.30046260628866595</v>
      </c>
      <c r="X62">
        <v>0</v>
      </c>
      <c r="Y62">
        <v>55.2</v>
      </c>
      <c r="Z62">
        <v>9.6</v>
      </c>
      <c r="AA62">
        <v>82.8</v>
      </c>
      <c r="AB62">
        <v>5.9599999999998143</v>
      </c>
      <c r="AC62">
        <v>20.839999999999819</v>
      </c>
      <c r="AD62">
        <v>0.47999999999996767</v>
      </c>
      <c r="AE62">
        <v>0.71999999999995146</v>
      </c>
      <c r="AF62">
        <v>27.99999999999967</v>
      </c>
      <c r="AG62">
        <v>200</v>
      </c>
      <c r="AH62">
        <v>227.99999999999969</v>
      </c>
      <c r="AI62">
        <v>180</v>
      </c>
      <c r="AJ62">
        <v>0</v>
      </c>
      <c r="AK62">
        <v>5.2</v>
      </c>
      <c r="AL62">
        <v>0.95999999999993535</v>
      </c>
      <c r="AM62">
        <v>1.4399999999999029</v>
      </c>
      <c r="AN62">
        <v>11.91999999999963</v>
      </c>
      <c r="AO62">
        <v>36.479999999999642</v>
      </c>
      <c r="AP62">
        <v>0</v>
      </c>
      <c r="AQ62">
        <v>0</v>
      </c>
    </row>
    <row r="63" spans="1:43" x14ac:dyDescent="0.2">
      <c r="A63">
        <v>321</v>
      </c>
      <c r="B63">
        <v>27.5</v>
      </c>
      <c r="C63">
        <v>416.66666666666669</v>
      </c>
      <c r="D63">
        <v>833.33333333333337</v>
      </c>
      <c r="E63">
        <v>416.66666666666669</v>
      </c>
      <c r="F63">
        <f t="shared" si="13"/>
        <v>1250</v>
      </c>
      <c r="G63">
        <f t="shared" si="14"/>
        <v>1250</v>
      </c>
      <c r="H63">
        <v>1666.666666666667</v>
      </c>
      <c r="I63">
        <v>0.45454545454545459</v>
      </c>
      <c r="J63">
        <v>0.90909090909090917</v>
      </c>
      <c r="K63">
        <v>0.45454545454545459</v>
      </c>
      <c r="L63">
        <f t="shared" si="15"/>
        <v>1.3636363636363638</v>
      </c>
      <c r="M63">
        <f t="shared" si="16"/>
        <v>1.3636363636363638</v>
      </c>
      <c r="N63">
        <v>1.8181818181818179</v>
      </c>
      <c r="O63">
        <f t="shared" si="4"/>
        <v>0</v>
      </c>
      <c r="P63">
        <f t="shared" si="5"/>
        <v>0</v>
      </c>
      <c r="Q63">
        <f t="shared" si="6"/>
        <v>0</v>
      </c>
      <c r="R63">
        <f t="shared" si="7"/>
        <v>3.6363636363636265E-2</v>
      </c>
      <c r="S63">
        <f t="shared" si="8"/>
        <v>8.6363636363636254E-2</v>
      </c>
      <c r="T63">
        <f t="shared" si="9"/>
        <v>0.1818181818181821</v>
      </c>
      <c r="U63">
        <f t="shared" si="10"/>
        <v>0.1818181818181821</v>
      </c>
      <c r="V63">
        <f t="shared" si="11"/>
        <v>0</v>
      </c>
      <c r="W63">
        <f t="shared" si="12"/>
        <v>0.20454545454545475</v>
      </c>
      <c r="X63">
        <v>0</v>
      </c>
      <c r="Y63">
        <v>43.2</v>
      </c>
      <c r="Z63">
        <v>34.799999999999997</v>
      </c>
      <c r="AA63">
        <v>3.6</v>
      </c>
      <c r="AB63">
        <v>9.1090909090909307</v>
      </c>
      <c r="AC63">
        <v>0</v>
      </c>
      <c r="AD63">
        <v>0</v>
      </c>
      <c r="AE63">
        <v>12.70909090909093</v>
      </c>
      <c r="AF63">
        <v>21.81818181818171</v>
      </c>
      <c r="AG63">
        <v>218.18181818181819</v>
      </c>
      <c r="AH63">
        <v>239.99999999999989</v>
      </c>
      <c r="AI63">
        <v>180</v>
      </c>
      <c r="AJ63">
        <v>0</v>
      </c>
      <c r="AK63">
        <v>0</v>
      </c>
      <c r="AL63">
        <v>0</v>
      </c>
      <c r="AM63">
        <v>25.418181818181861</v>
      </c>
      <c r="AN63">
        <v>18.218181818181861</v>
      </c>
      <c r="AO63">
        <v>0</v>
      </c>
      <c r="AP63">
        <v>0</v>
      </c>
      <c r="AQ63">
        <v>0</v>
      </c>
    </row>
    <row r="64" spans="1:43" x14ac:dyDescent="0.2">
      <c r="A64">
        <v>321</v>
      </c>
      <c r="B64">
        <v>25</v>
      </c>
      <c r="C64">
        <v>416.66666666666669</v>
      </c>
      <c r="D64">
        <v>833.33333333333337</v>
      </c>
      <c r="E64">
        <v>416.66666666666669</v>
      </c>
      <c r="F64">
        <f t="shared" si="13"/>
        <v>1250</v>
      </c>
      <c r="G64">
        <f t="shared" si="14"/>
        <v>1250</v>
      </c>
      <c r="H64">
        <v>1666.666666666667</v>
      </c>
      <c r="I64">
        <v>0.5</v>
      </c>
      <c r="J64">
        <v>1</v>
      </c>
      <c r="K64">
        <v>0.5</v>
      </c>
      <c r="L64">
        <f t="shared" si="15"/>
        <v>1.5</v>
      </c>
      <c r="M64">
        <f t="shared" si="16"/>
        <v>1.5</v>
      </c>
      <c r="N64">
        <v>2</v>
      </c>
      <c r="O64">
        <f t="shared" si="4"/>
        <v>0</v>
      </c>
      <c r="P64">
        <f t="shared" si="5"/>
        <v>0</v>
      </c>
      <c r="Q64">
        <f t="shared" si="6"/>
        <v>0</v>
      </c>
      <c r="R64">
        <f t="shared" si="7"/>
        <v>0</v>
      </c>
      <c r="S64">
        <f t="shared" si="8"/>
        <v>0</v>
      </c>
      <c r="T64">
        <f t="shared" si="9"/>
        <v>0</v>
      </c>
      <c r="U64">
        <f t="shared" si="10"/>
        <v>0</v>
      </c>
      <c r="V64">
        <f t="shared" si="11"/>
        <v>0</v>
      </c>
      <c r="W64">
        <f t="shared" si="12"/>
        <v>0</v>
      </c>
      <c r="X64">
        <v>0</v>
      </c>
      <c r="Y64">
        <v>48</v>
      </c>
      <c r="Z64">
        <v>36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240</v>
      </c>
      <c r="AH64">
        <v>240</v>
      </c>
      <c r="AI64">
        <v>180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">
      <c r="A65">
        <v>321</v>
      </c>
      <c r="B65">
        <v>22.5</v>
      </c>
      <c r="C65">
        <v>416.66666666666669</v>
      </c>
      <c r="D65">
        <v>833.33333333333337</v>
      </c>
      <c r="E65">
        <v>416.66666666666669</v>
      </c>
      <c r="F65">
        <f t="shared" si="13"/>
        <v>1250</v>
      </c>
      <c r="G65">
        <f t="shared" si="14"/>
        <v>1250</v>
      </c>
      <c r="H65">
        <v>1666.666666666667</v>
      </c>
      <c r="I65">
        <v>0.55555555555555558</v>
      </c>
      <c r="J65">
        <v>1.1111111111111109</v>
      </c>
      <c r="K65">
        <v>0.55555555555555558</v>
      </c>
      <c r="L65">
        <f t="shared" si="15"/>
        <v>1.6666666666666667</v>
      </c>
      <c r="M65">
        <f t="shared" si="16"/>
        <v>1.6666666666666667</v>
      </c>
      <c r="N65">
        <v>2.2222222222222219</v>
      </c>
      <c r="O65">
        <f t="shared" si="4"/>
        <v>5.5555555555555358E-3</v>
      </c>
      <c r="P65">
        <f t="shared" si="5"/>
        <v>0</v>
      </c>
      <c r="Q65">
        <f t="shared" si="6"/>
        <v>0</v>
      </c>
      <c r="R65">
        <f t="shared" si="7"/>
        <v>6.6666666666666763E-2</v>
      </c>
      <c r="S65">
        <f t="shared" si="8"/>
        <v>0.1166666666666667</v>
      </c>
      <c r="T65">
        <f t="shared" si="9"/>
        <v>0.22222222222222188</v>
      </c>
      <c r="U65">
        <f t="shared" si="10"/>
        <v>0.22229165581936139</v>
      </c>
      <c r="V65">
        <f t="shared" si="11"/>
        <v>5.5555555555555358E-3</v>
      </c>
      <c r="W65">
        <f t="shared" si="12"/>
        <v>0.25968879761156072</v>
      </c>
      <c r="X65">
        <v>0</v>
      </c>
      <c r="Y65">
        <v>42</v>
      </c>
      <c r="Z65">
        <v>32.4</v>
      </c>
      <c r="AA65">
        <v>2.4</v>
      </c>
      <c r="AB65">
        <v>3.1733333333332769</v>
      </c>
      <c r="AC65">
        <v>12.62666666666664</v>
      </c>
      <c r="AD65">
        <v>7.0799999999999272</v>
      </c>
      <c r="AE65">
        <v>3.7866666666665778</v>
      </c>
      <c r="AF65">
        <v>26.66666666666632</v>
      </c>
      <c r="AG65">
        <v>266.66666666666669</v>
      </c>
      <c r="AH65">
        <v>293.33333333333297</v>
      </c>
      <c r="AI65">
        <v>180</v>
      </c>
      <c r="AJ65">
        <v>0</v>
      </c>
      <c r="AK65">
        <v>10.133333333333249</v>
      </c>
      <c r="AL65">
        <v>6.5600000000000973</v>
      </c>
      <c r="AM65">
        <v>7.5733333333331556</v>
      </c>
      <c r="AN65">
        <v>6.3466666666665539</v>
      </c>
      <c r="AO65">
        <v>15.120000000000029</v>
      </c>
      <c r="AP65">
        <v>7.5999999999997572</v>
      </c>
      <c r="AQ65">
        <v>0</v>
      </c>
    </row>
    <row r="66" spans="1:43" x14ac:dyDescent="0.2">
      <c r="A66">
        <v>321</v>
      </c>
      <c r="B66">
        <v>20</v>
      </c>
      <c r="C66">
        <v>416.66666666666669</v>
      </c>
      <c r="D66">
        <v>833.33333333333337</v>
      </c>
      <c r="E66">
        <v>416.66666666666669</v>
      </c>
      <c r="F66">
        <f t="shared" ref="F66:F97" si="17">C66+D66</f>
        <v>1250</v>
      </c>
      <c r="G66">
        <f t="shared" ref="G66:G97" si="18">D66+E66</f>
        <v>1250</v>
      </c>
      <c r="H66">
        <v>1666.666666666667</v>
      </c>
      <c r="I66">
        <v>0.62500000000000011</v>
      </c>
      <c r="J66">
        <v>1.25</v>
      </c>
      <c r="K66">
        <v>0.62500000000000011</v>
      </c>
      <c r="L66">
        <f t="shared" ref="L66:L97" si="19">F66/(120*$B66*1000/3600)</f>
        <v>1.875</v>
      </c>
      <c r="M66">
        <f t="shared" ref="M66:M97" si="20">G66/(120*$B66*1000/3600)</f>
        <v>1.875</v>
      </c>
      <c r="N66">
        <v>2.5</v>
      </c>
      <c r="O66">
        <f t="shared" si="4"/>
        <v>7.5000000000000067E-2</v>
      </c>
      <c r="P66">
        <f t="shared" si="5"/>
        <v>9.9999999999999978E-2</v>
      </c>
      <c r="Q66">
        <f t="shared" si="6"/>
        <v>2.5000000000000133E-2</v>
      </c>
      <c r="R66">
        <f t="shared" si="7"/>
        <v>2.5000000000000022E-2</v>
      </c>
      <c r="S66">
        <f t="shared" si="8"/>
        <v>7.4999999999999956E-2</v>
      </c>
      <c r="T66">
        <f t="shared" si="9"/>
        <v>0</v>
      </c>
      <c r="U66">
        <f t="shared" si="10"/>
        <v>7.5000000000000067E-2</v>
      </c>
      <c r="V66">
        <f t="shared" si="11"/>
        <v>0.12747548783981968</v>
      </c>
      <c r="W66">
        <f t="shared" si="12"/>
        <v>7.9056941504209458E-2</v>
      </c>
      <c r="X66">
        <v>0</v>
      </c>
      <c r="Y66">
        <v>62.4</v>
      </c>
      <c r="Z66">
        <v>103.2</v>
      </c>
      <c r="AA66">
        <v>58.8</v>
      </c>
      <c r="AB66">
        <v>8.5799999999999681</v>
      </c>
      <c r="AC66">
        <v>13.079999999999851</v>
      </c>
      <c r="AD66">
        <v>2.034000000000014</v>
      </c>
      <c r="AE66">
        <v>0.30599999999948418</v>
      </c>
      <c r="AF66">
        <v>23.999999999999179</v>
      </c>
      <c r="AG66">
        <v>300</v>
      </c>
      <c r="AH66">
        <v>323.9999999999992</v>
      </c>
      <c r="AI66">
        <v>180</v>
      </c>
      <c r="AJ66">
        <v>0</v>
      </c>
      <c r="AK66">
        <v>0.47999999999988679</v>
      </c>
      <c r="AL66">
        <v>0.1080000000000938</v>
      </c>
      <c r="AM66">
        <v>0.61199999999896848</v>
      </c>
      <c r="AN66">
        <v>17.15999999999994</v>
      </c>
      <c r="AO66">
        <v>25.679999999999801</v>
      </c>
      <c r="AP66">
        <v>3.9599999999999351</v>
      </c>
      <c r="AQ66">
        <v>0</v>
      </c>
    </row>
    <row r="67" spans="1:43" x14ac:dyDescent="0.2">
      <c r="A67">
        <v>322</v>
      </c>
      <c r="B67">
        <v>50</v>
      </c>
      <c r="C67">
        <v>583.33333333333337</v>
      </c>
      <c r="D67">
        <v>833.33333333333337</v>
      </c>
      <c r="E67">
        <v>583.33333333333337</v>
      </c>
      <c r="F67">
        <f t="shared" si="17"/>
        <v>1416.6666666666667</v>
      </c>
      <c r="G67">
        <f t="shared" si="18"/>
        <v>1416.6666666666667</v>
      </c>
      <c r="H67">
        <v>2000</v>
      </c>
      <c r="I67">
        <v>0.35</v>
      </c>
      <c r="J67">
        <v>0.5</v>
      </c>
      <c r="K67">
        <v>0.35</v>
      </c>
      <c r="L67">
        <f t="shared" si="19"/>
        <v>0.85</v>
      </c>
      <c r="M67">
        <f t="shared" si="20"/>
        <v>0.85</v>
      </c>
      <c r="N67">
        <v>1.2</v>
      </c>
      <c r="O67">
        <f t="shared" ref="O67:O130" si="21">_xlfn.LET(_xlpm.x,MOD(I67,1),IF(OR(AND(_xlpm.x&gt;=0.45,_xlpm.x&lt;=0.55),_xlpm.x&gt;=0.95,_xlpm.x&lt;=0.05),0,IF(_xlpm.x&lt;0.45,MIN(0.45-_xlpm.x,_xlpm.x-0.05),MIN(_xlpm.x-0.55,0.95-_xlpm.x))))</f>
        <v>0.10000000000000003</v>
      </c>
      <c r="P67">
        <f t="shared" ref="P67:P130" si="22">_xlfn.LET(_xlpm.x,MOD(J67,1),IF(OR(AND(_xlpm.x&gt;=0.35,_xlpm.x&lt;=0.65),_xlpm.x&gt;=0.85,_xlpm.x&lt;=0.15),0,IF(_xlpm.x&lt;0.35,MIN(0.35-_xlpm.x,_xlpm.x-0.15),MIN(_xlpm.x-0.65,0.85-_xlpm.x))))</f>
        <v>0</v>
      </c>
      <c r="Q67">
        <f t="shared" ref="Q67:Q130" si="23">_xlfn.LET(_xlpm.x,MOD(K67,1),IF(OR(AND(_xlpm.x&gt;=0.4,_xlpm.x&lt;=0.6),_xlpm.x&gt;=0.9,_xlpm.x&lt;=0.1),0,IF(_xlpm.x&lt;0.4,MIN(0.4-_xlpm.x,_xlpm.x-0.1),MIN(_xlpm.x-0.6,0.9-_xlpm.x))))</f>
        <v>5.0000000000000044E-2</v>
      </c>
      <c r="R67">
        <f t="shared" ref="R67:R130" si="24">_xlfn.LET(_xlpm.x,MOD(L67,1),IF(OR(AND(_xlpm.x&gt;=0.4,_xlpm.x&lt;=0.6),_xlpm.x&gt;=0.9,_xlpm.x&lt;=0.1),0,IF(_xlpm.x&lt;0.4,MIN(0.4-_xlpm.x,_xlpm.x-0.1),MIN(_xlpm.x-0.6,0.9-_xlpm.x))))</f>
        <v>5.0000000000000044E-2</v>
      </c>
      <c r="S67">
        <f t="shared" ref="S67:S130" si="25">_xlfn.LET(_xlpm.x,MOD(M67,1),IF(OR(AND(_xlpm.x&gt;=0.45,_xlpm.x&lt;=0.55),_xlpm.x&gt;=0.95,_xlpm.x&lt;=0.05),0,IF(_xlpm.x&lt;0.45,MIN(0.45-_xlpm.x,_xlpm.x-0.05),MIN(_xlpm.x-0.55,0.95-_xlpm.x))))</f>
        <v>9.9999999999999978E-2</v>
      </c>
      <c r="T67">
        <f t="shared" ref="T67:T130" si="26">_xlfn.LET(_xlpm.x,MOD(N67,1),MIN(MIN(_xlpm.x,1-_xlpm.x),ABS(_xlpm.x-0.5)))</f>
        <v>0.19999999999999996</v>
      </c>
      <c r="U67">
        <f t="shared" ref="U67:U130" si="27">SQRT(SUMSQ(O67,T67))</f>
        <v>0.22360679774997894</v>
      </c>
      <c r="V67">
        <f t="shared" ref="V67:V130" si="28">SQRT(SUMSQ(O67:Q67))</f>
        <v>0.11180339887498954</v>
      </c>
      <c r="W67">
        <f t="shared" ref="W67:W130" si="29">SQRT(SUMSQ(R67:T67))</f>
        <v>0.22912878474779194</v>
      </c>
      <c r="X67">
        <v>0</v>
      </c>
      <c r="Y67">
        <v>78</v>
      </c>
      <c r="Z67">
        <v>1.2</v>
      </c>
      <c r="AA67">
        <v>64.8</v>
      </c>
      <c r="AB67">
        <v>0</v>
      </c>
      <c r="AC67">
        <v>26.400000000000041</v>
      </c>
      <c r="AD67">
        <v>7.1999999999999593</v>
      </c>
      <c r="AE67">
        <v>2.4</v>
      </c>
      <c r="AF67">
        <v>35.999999999999801</v>
      </c>
      <c r="AG67">
        <v>144</v>
      </c>
      <c r="AH67">
        <v>179.9999999999998</v>
      </c>
      <c r="AI67">
        <v>180</v>
      </c>
      <c r="AJ67">
        <v>0</v>
      </c>
      <c r="AK67">
        <v>36</v>
      </c>
      <c r="AL67">
        <v>0</v>
      </c>
      <c r="AM67">
        <v>4.8</v>
      </c>
      <c r="AN67">
        <v>0</v>
      </c>
      <c r="AO67">
        <v>16.800000000000079</v>
      </c>
      <c r="AP67">
        <v>14.39999999999992</v>
      </c>
      <c r="AQ67">
        <v>0</v>
      </c>
    </row>
    <row r="68" spans="1:43" x14ac:dyDescent="0.2">
      <c r="A68">
        <v>322</v>
      </c>
      <c r="B68">
        <v>47.5</v>
      </c>
      <c r="C68">
        <v>583.33333333333337</v>
      </c>
      <c r="D68">
        <v>833.33333333333337</v>
      </c>
      <c r="E68">
        <v>583.33333333333337</v>
      </c>
      <c r="F68">
        <f t="shared" si="17"/>
        <v>1416.6666666666667</v>
      </c>
      <c r="G68">
        <f t="shared" si="18"/>
        <v>1416.6666666666667</v>
      </c>
      <c r="H68">
        <v>2000</v>
      </c>
      <c r="I68">
        <v>0.36842105263157898</v>
      </c>
      <c r="J68">
        <v>0.52631578947368429</v>
      </c>
      <c r="K68">
        <v>0.36842105263157898</v>
      </c>
      <c r="L68">
        <f t="shared" si="19"/>
        <v>0.89473684210526327</v>
      </c>
      <c r="M68">
        <f t="shared" si="20"/>
        <v>0.89473684210526327</v>
      </c>
      <c r="N68">
        <v>1.263157894736842</v>
      </c>
      <c r="O68">
        <f t="shared" si="21"/>
        <v>8.1578947368421029E-2</v>
      </c>
      <c r="P68">
        <f t="shared" si="22"/>
        <v>0</v>
      </c>
      <c r="Q68">
        <f t="shared" si="23"/>
        <v>3.157894736842104E-2</v>
      </c>
      <c r="R68">
        <f t="shared" si="24"/>
        <v>5.2631578947367474E-3</v>
      </c>
      <c r="S68">
        <f t="shared" si="25"/>
        <v>5.5263157894736681E-2</v>
      </c>
      <c r="T68">
        <f t="shared" si="26"/>
        <v>0.23684210526315796</v>
      </c>
      <c r="U68">
        <f t="shared" si="27"/>
        <v>0.25049811871394245</v>
      </c>
      <c r="V68">
        <f t="shared" si="28"/>
        <v>8.747773757155082E-2</v>
      </c>
      <c r="W68">
        <f t="shared" si="29"/>
        <v>0.24326097154498155</v>
      </c>
      <c r="X68">
        <v>0</v>
      </c>
      <c r="Y68">
        <v>32.4</v>
      </c>
      <c r="Z68">
        <v>84</v>
      </c>
      <c r="AA68">
        <v>32.4</v>
      </c>
      <c r="AB68">
        <v>21.694736842105261</v>
      </c>
      <c r="AC68">
        <v>2.621052631578964</v>
      </c>
      <c r="AD68">
        <v>3.6947368421052591</v>
      </c>
      <c r="AE68">
        <v>0.41052631578948218</v>
      </c>
      <c r="AF68">
        <v>28.421052631578931</v>
      </c>
      <c r="AG68">
        <v>151.5789473684211</v>
      </c>
      <c r="AH68">
        <v>180</v>
      </c>
      <c r="AI68">
        <v>180</v>
      </c>
      <c r="AJ68">
        <v>0</v>
      </c>
      <c r="AK68">
        <v>0</v>
      </c>
      <c r="AL68">
        <v>0</v>
      </c>
      <c r="AM68">
        <v>0.82105263157896435</v>
      </c>
      <c r="AN68">
        <v>43.389473684210508</v>
      </c>
      <c r="AO68">
        <v>5.2421052631579288</v>
      </c>
      <c r="AP68">
        <v>7.3894736842105182</v>
      </c>
      <c r="AQ68">
        <v>0</v>
      </c>
    </row>
    <row r="69" spans="1:43" x14ac:dyDescent="0.2">
      <c r="A69">
        <v>322</v>
      </c>
      <c r="B69">
        <v>45</v>
      </c>
      <c r="C69">
        <v>583.33333333333337</v>
      </c>
      <c r="D69">
        <v>833.33333333333337</v>
      </c>
      <c r="E69">
        <v>583.33333333333337</v>
      </c>
      <c r="F69">
        <f t="shared" si="17"/>
        <v>1416.6666666666667</v>
      </c>
      <c r="G69">
        <f t="shared" si="18"/>
        <v>1416.6666666666667</v>
      </c>
      <c r="H69">
        <v>2000</v>
      </c>
      <c r="I69">
        <v>0.3888888888888889</v>
      </c>
      <c r="J69">
        <v>0.55555555555555558</v>
      </c>
      <c r="K69">
        <v>0.3888888888888889</v>
      </c>
      <c r="L69">
        <f t="shared" si="19"/>
        <v>0.94444444444444453</v>
      </c>
      <c r="M69">
        <f t="shared" si="20"/>
        <v>0.94444444444444453</v>
      </c>
      <c r="N69">
        <v>1.333333333333333</v>
      </c>
      <c r="O69">
        <f t="shared" si="21"/>
        <v>6.1111111111111116E-2</v>
      </c>
      <c r="P69">
        <f t="shared" si="22"/>
        <v>0</v>
      </c>
      <c r="Q69">
        <f t="shared" si="23"/>
        <v>1.1111111111111127E-2</v>
      </c>
      <c r="R69">
        <f t="shared" si="24"/>
        <v>0</v>
      </c>
      <c r="S69">
        <f t="shared" si="25"/>
        <v>5.5555555555554248E-3</v>
      </c>
      <c r="T69">
        <f t="shared" si="26"/>
        <v>0.16666666666666696</v>
      </c>
      <c r="U69">
        <f t="shared" si="27"/>
        <v>0.17751717009633869</v>
      </c>
      <c r="V69">
        <f t="shared" si="28"/>
        <v>6.211299937499417E-2</v>
      </c>
      <c r="W69">
        <f t="shared" si="29"/>
        <v>0.16675923355337399</v>
      </c>
      <c r="X69">
        <v>0</v>
      </c>
      <c r="Y69">
        <v>34.799999999999997</v>
      </c>
      <c r="Z69">
        <v>90</v>
      </c>
      <c r="AA69">
        <v>40.799999999999997</v>
      </c>
      <c r="AB69">
        <v>18.333333333333329</v>
      </c>
      <c r="AC69">
        <v>0</v>
      </c>
      <c r="AD69">
        <v>1.2666666666666671</v>
      </c>
      <c r="AE69">
        <v>0.4</v>
      </c>
      <c r="AF69">
        <v>20</v>
      </c>
      <c r="AG69">
        <v>160</v>
      </c>
      <c r="AH69">
        <v>180</v>
      </c>
      <c r="AI69">
        <v>180</v>
      </c>
      <c r="AJ69">
        <v>0</v>
      </c>
      <c r="AK69">
        <v>0</v>
      </c>
      <c r="AL69">
        <v>0</v>
      </c>
      <c r="AM69">
        <v>0.8</v>
      </c>
      <c r="AN69">
        <v>36.666666666666657</v>
      </c>
      <c r="AO69">
        <v>0</v>
      </c>
      <c r="AP69">
        <v>2.5333333333333332</v>
      </c>
      <c r="AQ69">
        <v>0</v>
      </c>
    </row>
    <row r="70" spans="1:43" x14ac:dyDescent="0.2">
      <c r="A70">
        <v>322</v>
      </c>
      <c r="B70">
        <v>42.5</v>
      </c>
      <c r="C70">
        <v>583.33333333333337</v>
      </c>
      <c r="D70">
        <v>833.33333333333337</v>
      </c>
      <c r="E70">
        <v>583.33333333333337</v>
      </c>
      <c r="F70">
        <f t="shared" si="17"/>
        <v>1416.6666666666667</v>
      </c>
      <c r="G70">
        <f t="shared" si="18"/>
        <v>1416.6666666666667</v>
      </c>
      <c r="H70">
        <v>2000</v>
      </c>
      <c r="I70">
        <v>0.41176470588235292</v>
      </c>
      <c r="J70">
        <v>0.58823529411764708</v>
      </c>
      <c r="K70">
        <v>0.41176470588235292</v>
      </c>
      <c r="L70">
        <f t="shared" si="19"/>
        <v>1</v>
      </c>
      <c r="M70">
        <f t="shared" si="20"/>
        <v>1</v>
      </c>
      <c r="N70">
        <v>1.411764705882353</v>
      </c>
      <c r="O70">
        <f t="shared" si="21"/>
        <v>3.823529411764709E-2</v>
      </c>
      <c r="P70">
        <f t="shared" si="22"/>
        <v>0</v>
      </c>
      <c r="Q70">
        <f t="shared" si="23"/>
        <v>0</v>
      </c>
      <c r="R70">
        <f t="shared" si="24"/>
        <v>0</v>
      </c>
      <c r="S70">
        <f t="shared" si="25"/>
        <v>0</v>
      </c>
      <c r="T70">
        <f t="shared" si="26"/>
        <v>8.8235294117646967E-2</v>
      </c>
      <c r="U70">
        <f t="shared" si="27"/>
        <v>9.6163427789834138E-2</v>
      </c>
      <c r="V70">
        <f t="shared" si="28"/>
        <v>3.823529411764709E-2</v>
      </c>
      <c r="W70">
        <f t="shared" si="29"/>
        <v>8.8235294117646967E-2</v>
      </c>
      <c r="X70">
        <v>0</v>
      </c>
      <c r="Y70">
        <v>61.2</v>
      </c>
      <c r="Z70">
        <v>0</v>
      </c>
      <c r="AA70">
        <v>61.2</v>
      </c>
      <c r="AB70">
        <v>-8.0843973490926958E-14</v>
      </c>
      <c r="AC70">
        <v>5.8941176470588186</v>
      </c>
      <c r="AD70">
        <v>4.6941176470588992</v>
      </c>
      <c r="AE70">
        <v>-1.6168794698185389E-13</v>
      </c>
      <c r="AF70">
        <v>10.588235294117331</v>
      </c>
      <c r="AG70">
        <v>169.41176470588229</v>
      </c>
      <c r="AH70">
        <v>179.99999999999969</v>
      </c>
      <c r="AI70">
        <v>180</v>
      </c>
      <c r="AJ70">
        <v>0</v>
      </c>
      <c r="AK70">
        <v>11.788235294117641</v>
      </c>
      <c r="AL70">
        <v>0</v>
      </c>
      <c r="AM70">
        <v>-3.2337589396370778E-13</v>
      </c>
      <c r="AN70">
        <v>-1.6168794698185389E-13</v>
      </c>
      <c r="AO70">
        <v>0</v>
      </c>
      <c r="AP70">
        <v>9.3882352941177984</v>
      </c>
      <c r="AQ70">
        <v>0</v>
      </c>
    </row>
    <row r="71" spans="1:43" x14ac:dyDescent="0.2">
      <c r="A71">
        <v>322</v>
      </c>
      <c r="B71">
        <v>40</v>
      </c>
      <c r="C71">
        <v>583.33333333333337</v>
      </c>
      <c r="D71">
        <v>833.33333333333337</v>
      </c>
      <c r="E71">
        <v>583.33333333333337</v>
      </c>
      <c r="F71">
        <f t="shared" si="17"/>
        <v>1416.6666666666667</v>
      </c>
      <c r="G71">
        <f t="shared" si="18"/>
        <v>1416.6666666666667</v>
      </c>
      <c r="H71">
        <v>2000</v>
      </c>
      <c r="I71">
        <v>0.43750000000000011</v>
      </c>
      <c r="J71">
        <v>0.62500000000000011</v>
      </c>
      <c r="K71">
        <v>0.43750000000000011</v>
      </c>
      <c r="L71">
        <f t="shared" si="19"/>
        <v>1.0625000000000002</v>
      </c>
      <c r="M71">
        <f t="shared" si="20"/>
        <v>1.0625000000000002</v>
      </c>
      <c r="N71">
        <v>1.5</v>
      </c>
      <c r="O71">
        <f t="shared" si="21"/>
        <v>1.24999999999999E-2</v>
      </c>
      <c r="P71">
        <f t="shared" si="22"/>
        <v>0</v>
      </c>
      <c r="Q71">
        <f t="shared" si="23"/>
        <v>0</v>
      </c>
      <c r="R71">
        <f t="shared" si="24"/>
        <v>0</v>
      </c>
      <c r="S71">
        <f t="shared" si="25"/>
        <v>1.2500000000000219E-2</v>
      </c>
      <c r="T71">
        <f t="shared" si="26"/>
        <v>0</v>
      </c>
      <c r="U71">
        <f t="shared" si="27"/>
        <v>1.24999999999999E-2</v>
      </c>
      <c r="V71">
        <f t="shared" si="28"/>
        <v>1.24999999999999E-2</v>
      </c>
      <c r="W71">
        <f t="shared" si="29"/>
        <v>1.2500000000000219E-2</v>
      </c>
      <c r="X71">
        <v>0</v>
      </c>
      <c r="Y71">
        <v>52.8</v>
      </c>
      <c r="Z71">
        <v>102</v>
      </c>
      <c r="AA71">
        <v>57.599999999999987</v>
      </c>
      <c r="AB71">
        <v>1.3800000000000889</v>
      </c>
      <c r="AC71">
        <v>0.26999999999999191</v>
      </c>
      <c r="AD71">
        <v>0.53999999999998383</v>
      </c>
      <c r="AE71">
        <v>0.80999999999989492</v>
      </c>
      <c r="AF71">
        <v>2.9999999999997158</v>
      </c>
      <c r="AG71">
        <v>180</v>
      </c>
      <c r="AH71">
        <v>182.99999999999969</v>
      </c>
      <c r="AI71">
        <v>180</v>
      </c>
      <c r="AJ71">
        <v>0</v>
      </c>
      <c r="AK71">
        <v>0.3</v>
      </c>
      <c r="AL71">
        <v>1.0799999999999681</v>
      </c>
      <c r="AM71">
        <v>1.6199999999997901</v>
      </c>
      <c r="AN71">
        <v>2.7600000000001779</v>
      </c>
      <c r="AO71">
        <v>0.23999999999998381</v>
      </c>
      <c r="AP71">
        <v>0</v>
      </c>
      <c r="AQ71">
        <v>0</v>
      </c>
    </row>
    <row r="72" spans="1:43" x14ac:dyDescent="0.2">
      <c r="A72">
        <v>322</v>
      </c>
      <c r="B72">
        <v>37.5</v>
      </c>
      <c r="C72">
        <v>583.33333333333337</v>
      </c>
      <c r="D72">
        <v>833.33333333333337</v>
      </c>
      <c r="E72">
        <v>583.33333333333337</v>
      </c>
      <c r="F72">
        <f t="shared" si="17"/>
        <v>1416.6666666666667</v>
      </c>
      <c r="G72">
        <f t="shared" si="18"/>
        <v>1416.6666666666667</v>
      </c>
      <c r="H72">
        <v>2000</v>
      </c>
      <c r="I72">
        <v>0.46666666666666667</v>
      </c>
      <c r="J72">
        <v>0.66666666666666674</v>
      </c>
      <c r="K72">
        <v>0.46666666666666667</v>
      </c>
      <c r="L72">
        <f t="shared" si="19"/>
        <v>1.1333333333333333</v>
      </c>
      <c r="M72">
        <f t="shared" si="20"/>
        <v>1.1333333333333333</v>
      </c>
      <c r="N72">
        <v>1.6</v>
      </c>
      <c r="O72">
        <f t="shared" si="21"/>
        <v>0</v>
      </c>
      <c r="P72">
        <f t="shared" si="22"/>
        <v>1.6666666666666718E-2</v>
      </c>
      <c r="Q72">
        <f t="shared" si="23"/>
        <v>0</v>
      </c>
      <c r="R72">
        <f t="shared" si="24"/>
        <v>3.3333333333333298E-2</v>
      </c>
      <c r="S72">
        <f t="shared" si="25"/>
        <v>8.3333333333333301E-2</v>
      </c>
      <c r="T72">
        <f t="shared" si="26"/>
        <v>0.10000000000000009</v>
      </c>
      <c r="U72">
        <f t="shared" si="27"/>
        <v>0.10000000000000009</v>
      </c>
      <c r="V72">
        <f t="shared" si="28"/>
        <v>1.6666666666666718E-2</v>
      </c>
      <c r="W72">
        <f t="shared" si="29"/>
        <v>0.13437096247164254</v>
      </c>
      <c r="X72">
        <v>0</v>
      </c>
      <c r="Y72">
        <v>52.8</v>
      </c>
      <c r="Z72">
        <v>0</v>
      </c>
      <c r="AA72">
        <v>67.2</v>
      </c>
      <c r="AB72">
        <v>2.2400000000000651</v>
      </c>
      <c r="AC72">
        <v>7.3600000000000563</v>
      </c>
      <c r="AD72">
        <v>0</v>
      </c>
      <c r="AE72">
        <v>2.3999999999997979</v>
      </c>
      <c r="AF72">
        <v>11.999999999999799</v>
      </c>
      <c r="AG72">
        <v>192</v>
      </c>
      <c r="AH72">
        <v>203.9999999999998</v>
      </c>
      <c r="AI72">
        <v>180</v>
      </c>
      <c r="AJ72">
        <v>0</v>
      </c>
      <c r="AK72">
        <v>0</v>
      </c>
      <c r="AL72">
        <v>0</v>
      </c>
      <c r="AM72">
        <v>4.7999999999995957</v>
      </c>
      <c r="AN72">
        <v>4.4800000000001292</v>
      </c>
      <c r="AO72">
        <v>14.720000000000111</v>
      </c>
      <c r="AP72">
        <v>0</v>
      </c>
      <c r="AQ72">
        <v>0</v>
      </c>
    </row>
    <row r="73" spans="1:43" x14ac:dyDescent="0.2">
      <c r="A73">
        <v>322</v>
      </c>
      <c r="B73">
        <v>35</v>
      </c>
      <c r="C73">
        <v>583.33333333333337</v>
      </c>
      <c r="D73">
        <v>833.33333333333337</v>
      </c>
      <c r="E73">
        <v>583.33333333333337</v>
      </c>
      <c r="F73">
        <f t="shared" si="17"/>
        <v>1416.6666666666667</v>
      </c>
      <c r="G73">
        <f t="shared" si="18"/>
        <v>1416.6666666666667</v>
      </c>
      <c r="H73">
        <v>2000</v>
      </c>
      <c r="I73">
        <v>0.5</v>
      </c>
      <c r="J73">
        <v>0.7142857142857143</v>
      </c>
      <c r="K73">
        <v>0.5</v>
      </c>
      <c r="L73">
        <f t="shared" si="19"/>
        <v>1.2142857142857142</v>
      </c>
      <c r="M73">
        <f t="shared" si="20"/>
        <v>1.2142857142857142</v>
      </c>
      <c r="N73">
        <v>1.714285714285714</v>
      </c>
      <c r="O73">
        <f t="shared" si="21"/>
        <v>0</v>
      </c>
      <c r="P73">
        <f t="shared" si="22"/>
        <v>6.4285714285714279E-2</v>
      </c>
      <c r="Q73">
        <f t="shared" si="23"/>
        <v>0</v>
      </c>
      <c r="R73">
        <f t="shared" si="24"/>
        <v>0.11428571428571419</v>
      </c>
      <c r="S73">
        <f t="shared" si="25"/>
        <v>0.1642857142857142</v>
      </c>
      <c r="T73">
        <f t="shared" si="26"/>
        <v>0.21428571428571397</v>
      </c>
      <c r="U73">
        <f t="shared" si="27"/>
        <v>0.21428571428571397</v>
      </c>
      <c r="V73">
        <f t="shared" si="28"/>
        <v>6.4285714285714279E-2</v>
      </c>
      <c r="W73">
        <f t="shared" si="29"/>
        <v>0.29320536788248241</v>
      </c>
      <c r="X73">
        <v>0</v>
      </c>
      <c r="Y73">
        <v>48</v>
      </c>
      <c r="Z73">
        <v>0</v>
      </c>
      <c r="AA73">
        <v>62.4</v>
      </c>
      <c r="AB73">
        <v>2.8114285714284462</v>
      </c>
      <c r="AC73">
        <v>11.24571428571431</v>
      </c>
      <c r="AD73">
        <v>0.51428571428574898</v>
      </c>
      <c r="AE73">
        <v>11.142857142857091</v>
      </c>
      <c r="AF73">
        <v>25.71428571428541</v>
      </c>
      <c r="AG73">
        <v>205.71428571428569</v>
      </c>
      <c r="AH73">
        <v>231.4285714285711</v>
      </c>
      <c r="AI73">
        <v>180</v>
      </c>
      <c r="AJ73">
        <v>0</v>
      </c>
      <c r="AK73">
        <v>0</v>
      </c>
      <c r="AL73">
        <v>1.028571428571498</v>
      </c>
      <c r="AM73">
        <v>22.285714285714171</v>
      </c>
      <c r="AN73">
        <v>5.6228571428568914</v>
      </c>
      <c r="AO73">
        <v>22.49142857142861</v>
      </c>
      <c r="AP73">
        <v>0</v>
      </c>
      <c r="AQ73">
        <v>0</v>
      </c>
    </row>
    <row r="74" spans="1:43" x14ac:dyDescent="0.2">
      <c r="A74">
        <v>322</v>
      </c>
      <c r="B74">
        <v>32.5</v>
      </c>
      <c r="C74">
        <v>583.33333333333337</v>
      </c>
      <c r="D74">
        <v>833.33333333333337</v>
      </c>
      <c r="E74">
        <v>583.33333333333337</v>
      </c>
      <c r="F74">
        <f t="shared" si="17"/>
        <v>1416.6666666666667</v>
      </c>
      <c r="G74">
        <f t="shared" si="18"/>
        <v>1416.6666666666667</v>
      </c>
      <c r="H74">
        <v>2000</v>
      </c>
      <c r="I74">
        <v>0.53846153846153855</v>
      </c>
      <c r="J74">
        <v>0.76923076923076927</v>
      </c>
      <c r="K74">
        <v>0.53846153846153855</v>
      </c>
      <c r="L74">
        <f t="shared" si="19"/>
        <v>1.3076923076923079</v>
      </c>
      <c r="M74">
        <f t="shared" si="20"/>
        <v>1.3076923076923079</v>
      </c>
      <c r="N74">
        <v>1.846153846153846</v>
      </c>
      <c r="O74">
        <f t="shared" si="21"/>
        <v>0</v>
      </c>
      <c r="P74">
        <f t="shared" si="22"/>
        <v>8.0769230769230704E-2</v>
      </c>
      <c r="Q74">
        <f t="shared" si="23"/>
        <v>0</v>
      </c>
      <c r="R74">
        <f t="shared" si="24"/>
        <v>9.2307692307692091E-2</v>
      </c>
      <c r="S74">
        <f t="shared" si="25"/>
        <v>0.14230769230769208</v>
      </c>
      <c r="T74">
        <f t="shared" si="26"/>
        <v>0.15384615384615397</v>
      </c>
      <c r="U74">
        <f t="shared" si="27"/>
        <v>0.15384615384615397</v>
      </c>
      <c r="V74">
        <f t="shared" si="28"/>
        <v>8.0769230769230704E-2</v>
      </c>
      <c r="W74">
        <f t="shared" si="29"/>
        <v>0.22899962533237211</v>
      </c>
      <c r="X74">
        <v>0</v>
      </c>
      <c r="Y74">
        <v>52.8</v>
      </c>
      <c r="Z74">
        <v>44.4</v>
      </c>
      <c r="AA74">
        <v>3.6</v>
      </c>
      <c r="AB74">
        <v>1.292307692307723</v>
      </c>
      <c r="AC74">
        <v>6.1384615384615451</v>
      </c>
      <c r="AD74">
        <v>3.7384615384615452</v>
      </c>
      <c r="AE74">
        <v>7.2923076923076016</v>
      </c>
      <c r="AF74">
        <v>18.461538461538321</v>
      </c>
      <c r="AG74">
        <v>221.5384615384616</v>
      </c>
      <c r="AH74">
        <v>239.99999999999989</v>
      </c>
      <c r="AI74">
        <v>180</v>
      </c>
      <c r="AJ74">
        <v>0</v>
      </c>
      <c r="AK74">
        <v>0</v>
      </c>
      <c r="AL74">
        <v>7.4769230769230894</v>
      </c>
      <c r="AM74">
        <v>14.5846153846152</v>
      </c>
      <c r="AN74">
        <v>2.5846153846154469</v>
      </c>
      <c r="AO74">
        <v>12.27692307692309</v>
      </c>
      <c r="AP74">
        <v>0</v>
      </c>
      <c r="AQ74">
        <v>0</v>
      </c>
    </row>
    <row r="75" spans="1:43" x14ac:dyDescent="0.2">
      <c r="A75">
        <v>322</v>
      </c>
      <c r="B75">
        <v>30</v>
      </c>
      <c r="C75">
        <v>583.33333333333337</v>
      </c>
      <c r="D75">
        <v>833.33333333333337</v>
      </c>
      <c r="E75">
        <v>583.33333333333337</v>
      </c>
      <c r="F75">
        <f t="shared" si="17"/>
        <v>1416.6666666666667</v>
      </c>
      <c r="G75">
        <f t="shared" si="18"/>
        <v>1416.6666666666667</v>
      </c>
      <c r="H75">
        <v>2000</v>
      </c>
      <c r="I75">
        <v>0.58333333333333337</v>
      </c>
      <c r="J75">
        <v>0.83333333333333337</v>
      </c>
      <c r="K75">
        <v>0.58333333333333337</v>
      </c>
      <c r="L75">
        <f t="shared" si="19"/>
        <v>1.4166666666666667</v>
      </c>
      <c r="M75">
        <f t="shared" si="20"/>
        <v>1.4166666666666667</v>
      </c>
      <c r="N75">
        <v>2</v>
      </c>
      <c r="O75">
        <f t="shared" si="21"/>
        <v>3.3333333333333326E-2</v>
      </c>
      <c r="P75">
        <f t="shared" si="22"/>
        <v>1.6666666666666607E-2</v>
      </c>
      <c r="Q75">
        <f t="shared" si="23"/>
        <v>0</v>
      </c>
      <c r="R75">
        <f t="shared" si="24"/>
        <v>0</v>
      </c>
      <c r="S75">
        <f t="shared" si="25"/>
        <v>3.333333333333327E-2</v>
      </c>
      <c r="T75">
        <f t="shared" si="26"/>
        <v>0</v>
      </c>
      <c r="U75">
        <f t="shared" si="27"/>
        <v>3.3333333333333326E-2</v>
      </c>
      <c r="V75">
        <f t="shared" si="28"/>
        <v>3.7267799624996462E-2</v>
      </c>
      <c r="W75">
        <f t="shared" si="29"/>
        <v>3.333333333333327E-2</v>
      </c>
      <c r="X75">
        <v>0</v>
      </c>
      <c r="Y75">
        <v>52.8</v>
      </c>
      <c r="Z75">
        <v>42</v>
      </c>
      <c r="AA75">
        <v>115.2</v>
      </c>
      <c r="AB75">
        <v>1.3999999999999191</v>
      </c>
      <c r="AC75">
        <v>5.879999999999967</v>
      </c>
      <c r="AD75">
        <v>0.39866666666667799</v>
      </c>
      <c r="AE75">
        <v>0.32133333333323311</v>
      </c>
      <c r="AF75">
        <v>7.9999999999997584</v>
      </c>
      <c r="AG75">
        <v>240</v>
      </c>
      <c r="AH75">
        <v>247.9999999999998</v>
      </c>
      <c r="AI75">
        <v>180</v>
      </c>
      <c r="AJ75">
        <v>0</v>
      </c>
      <c r="AK75">
        <v>4.1599999999999353</v>
      </c>
      <c r="AL75">
        <v>0.79733333333335599</v>
      </c>
      <c r="AM75">
        <v>0.64266666666646621</v>
      </c>
      <c r="AN75">
        <v>2.7999999999998382</v>
      </c>
      <c r="AO75">
        <v>7.6</v>
      </c>
      <c r="AP75">
        <v>0</v>
      </c>
      <c r="AQ75">
        <v>0</v>
      </c>
    </row>
    <row r="76" spans="1:43" x14ac:dyDescent="0.2">
      <c r="A76">
        <v>322</v>
      </c>
      <c r="B76">
        <v>27.5</v>
      </c>
      <c r="C76">
        <v>583.33333333333337</v>
      </c>
      <c r="D76">
        <v>833.33333333333337</v>
      </c>
      <c r="E76">
        <v>583.33333333333337</v>
      </c>
      <c r="F76">
        <f t="shared" si="17"/>
        <v>1416.6666666666667</v>
      </c>
      <c r="G76">
        <f t="shared" si="18"/>
        <v>1416.6666666666667</v>
      </c>
      <c r="H76">
        <v>2000</v>
      </c>
      <c r="I76">
        <v>0.63636363636363646</v>
      </c>
      <c r="J76">
        <v>0.90909090909090917</v>
      </c>
      <c r="K76">
        <v>0.63636363636363646</v>
      </c>
      <c r="L76">
        <f t="shared" si="19"/>
        <v>1.5454545454545456</v>
      </c>
      <c r="M76">
        <f t="shared" si="20"/>
        <v>1.5454545454545456</v>
      </c>
      <c r="N76">
        <v>2.1818181818181821</v>
      </c>
      <c r="O76">
        <f t="shared" si="21"/>
        <v>8.636363636363642E-2</v>
      </c>
      <c r="P76">
        <f t="shared" si="22"/>
        <v>0</v>
      </c>
      <c r="Q76">
        <f t="shared" si="23"/>
        <v>3.6363636363636487E-2</v>
      </c>
      <c r="R76">
        <f t="shared" si="24"/>
        <v>0</v>
      </c>
      <c r="S76">
        <f t="shared" si="25"/>
        <v>0</v>
      </c>
      <c r="T76">
        <f t="shared" si="26"/>
        <v>0.1818181818181821</v>
      </c>
      <c r="U76">
        <f t="shared" si="27"/>
        <v>0.20128718023167783</v>
      </c>
      <c r="V76">
        <f t="shared" si="28"/>
        <v>9.3706946036765118E-2</v>
      </c>
      <c r="W76">
        <f t="shared" si="29"/>
        <v>0.1818181818181821</v>
      </c>
      <c r="X76">
        <v>0</v>
      </c>
      <c r="Y76">
        <v>32.4</v>
      </c>
      <c r="Z76">
        <v>31.2</v>
      </c>
      <c r="AA76">
        <v>99.6</v>
      </c>
      <c r="AB76">
        <v>0.40294214876064671</v>
      </c>
      <c r="AC76">
        <v>12.86251239669396</v>
      </c>
      <c r="AD76">
        <v>2.8152396694214179</v>
      </c>
      <c r="AE76">
        <v>5.7374876033058779</v>
      </c>
      <c r="AF76">
        <v>21.818181818181809</v>
      </c>
      <c r="AG76">
        <v>261.81818181818193</v>
      </c>
      <c r="AH76">
        <v>283.63636363636368</v>
      </c>
      <c r="AI76">
        <v>180</v>
      </c>
      <c r="AJ76">
        <v>0</v>
      </c>
      <c r="AK76">
        <v>25.570909090908959</v>
      </c>
      <c r="AL76">
        <v>5.172297520661151</v>
      </c>
      <c r="AM76">
        <v>11.474975206611759</v>
      </c>
      <c r="AN76">
        <v>0.80588429752129342</v>
      </c>
      <c r="AO76">
        <v>0.15411570247896531</v>
      </c>
      <c r="AP76">
        <v>0.45818181818168441</v>
      </c>
      <c r="AQ76">
        <v>0</v>
      </c>
    </row>
    <row r="77" spans="1:43" x14ac:dyDescent="0.2">
      <c r="A77">
        <v>322</v>
      </c>
      <c r="B77">
        <v>25</v>
      </c>
      <c r="C77">
        <v>583.33333333333337</v>
      </c>
      <c r="D77">
        <v>833.33333333333337</v>
      </c>
      <c r="E77">
        <v>583.33333333333337</v>
      </c>
      <c r="F77">
        <f t="shared" si="17"/>
        <v>1416.6666666666667</v>
      </c>
      <c r="G77">
        <f t="shared" si="18"/>
        <v>1416.6666666666667</v>
      </c>
      <c r="H77">
        <v>2000</v>
      </c>
      <c r="I77">
        <v>0.70000000000000007</v>
      </c>
      <c r="J77">
        <v>1</v>
      </c>
      <c r="K77">
        <v>0.70000000000000007</v>
      </c>
      <c r="L77">
        <f t="shared" si="19"/>
        <v>1.7</v>
      </c>
      <c r="M77">
        <f t="shared" si="20"/>
        <v>1.7</v>
      </c>
      <c r="N77">
        <v>2.4</v>
      </c>
      <c r="O77">
        <f t="shared" si="21"/>
        <v>0.15000000000000002</v>
      </c>
      <c r="P77">
        <f t="shared" si="22"/>
        <v>0</v>
      </c>
      <c r="Q77">
        <f t="shared" si="23"/>
        <v>0.10000000000000009</v>
      </c>
      <c r="R77">
        <f t="shared" si="24"/>
        <v>9.9999999999999978E-2</v>
      </c>
      <c r="S77">
        <f t="shared" si="25"/>
        <v>0.14999999999999991</v>
      </c>
      <c r="T77">
        <f t="shared" si="26"/>
        <v>0.10000000000000009</v>
      </c>
      <c r="U77">
        <f t="shared" si="27"/>
        <v>0.18027756377319953</v>
      </c>
      <c r="V77">
        <f t="shared" si="28"/>
        <v>0.18027756377319953</v>
      </c>
      <c r="W77">
        <f t="shared" si="29"/>
        <v>0.20615528128088301</v>
      </c>
      <c r="X77">
        <v>0</v>
      </c>
      <c r="Y77">
        <v>31.2</v>
      </c>
      <c r="Z77">
        <v>14.4</v>
      </c>
      <c r="AA77">
        <v>79.2</v>
      </c>
      <c r="AB77">
        <v>1.4879999999994149</v>
      </c>
      <c r="AC77">
        <v>16.992000000000029</v>
      </c>
      <c r="AD77">
        <v>2.879999999999967</v>
      </c>
      <c r="AE77">
        <v>14.63999999999978</v>
      </c>
      <c r="AF77">
        <v>35.999999999999183</v>
      </c>
      <c r="AG77">
        <v>288</v>
      </c>
      <c r="AH77">
        <v>323.9999999999992</v>
      </c>
      <c r="AI77">
        <v>180</v>
      </c>
      <c r="AJ77">
        <v>0</v>
      </c>
      <c r="AK77">
        <v>32.639999999999993</v>
      </c>
      <c r="AL77">
        <v>2.879999999999967</v>
      </c>
      <c r="AM77">
        <v>29.279999999999561</v>
      </c>
      <c r="AN77">
        <v>2.9759999999988289</v>
      </c>
      <c r="AO77">
        <v>1.3440000000000709</v>
      </c>
      <c r="AP77">
        <v>2.879999999999967</v>
      </c>
      <c r="AQ77">
        <v>0</v>
      </c>
    </row>
    <row r="78" spans="1:43" x14ac:dyDescent="0.2">
      <c r="A78">
        <v>322</v>
      </c>
      <c r="B78">
        <v>22.5</v>
      </c>
      <c r="C78">
        <v>583.33333333333337</v>
      </c>
      <c r="D78">
        <v>833.33333333333337</v>
      </c>
      <c r="E78">
        <v>583.33333333333337</v>
      </c>
      <c r="F78">
        <f t="shared" si="17"/>
        <v>1416.6666666666667</v>
      </c>
      <c r="G78">
        <f t="shared" si="18"/>
        <v>1416.6666666666667</v>
      </c>
      <c r="H78">
        <v>2000</v>
      </c>
      <c r="I78">
        <v>0.77777777777777779</v>
      </c>
      <c r="J78">
        <v>1.1111111111111109</v>
      </c>
      <c r="K78">
        <v>0.77777777777777779</v>
      </c>
      <c r="L78">
        <f t="shared" si="19"/>
        <v>1.8888888888888891</v>
      </c>
      <c r="M78">
        <f t="shared" si="20"/>
        <v>1.8888888888888891</v>
      </c>
      <c r="N78">
        <v>2.666666666666667</v>
      </c>
      <c r="O78">
        <f t="shared" si="21"/>
        <v>0.17222222222222217</v>
      </c>
      <c r="P78">
        <f t="shared" si="22"/>
        <v>0</v>
      </c>
      <c r="Q78">
        <f t="shared" si="23"/>
        <v>0.12222222222222223</v>
      </c>
      <c r="R78">
        <f t="shared" si="24"/>
        <v>1.1111111111110961E-2</v>
      </c>
      <c r="S78">
        <f t="shared" si="25"/>
        <v>6.1111111111110894E-2</v>
      </c>
      <c r="T78">
        <f t="shared" si="26"/>
        <v>0.16666666666666696</v>
      </c>
      <c r="U78">
        <f t="shared" si="27"/>
        <v>0.23966282900136673</v>
      </c>
      <c r="V78">
        <f t="shared" si="28"/>
        <v>0.21118419787498011</v>
      </c>
      <c r="W78">
        <f t="shared" si="29"/>
        <v>0.17786456215091268</v>
      </c>
      <c r="X78">
        <v>0</v>
      </c>
      <c r="Y78">
        <v>13.2</v>
      </c>
      <c r="Z78">
        <v>24</v>
      </c>
      <c r="AA78">
        <v>1.2</v>
      </c>
      <c r="AB78">
        <v>2.5970370370365141</v>
      </c>
      <c r="AC78">
        <v>22.776296296296199</v>
      </c>
      <c r="AD78">
        <v>13.96000000000002</v>
      </c>
      <c r="AE78">
        <v>0.66666666666682839</v>
      </c>
      <c r="AF78">
        <v>39.999999999999368</v>
      </c>
      <c r="AG78">
        <v>320</v>
      </c>
      <c r="AH78">
        <v>359.99999999999937</v>
      </c>
      <c r="AI78">
        <v>180</v>
      </c>
      <c r="AJ78">
        <v>0</v>
      </c>
      <c r="AK78">
        <v>39.866666666666433</v>
      </c>
      <c r="AL78">
        <v>0</v>
      </c>
      <c r="AM78">
        <v>1.333333333333657</v>
      </c>
      <c r="AN78">
        <v>5.1940740740730282</v>
      </c>
      <c r="AO78">
        <v>5.6859259259259689</v>
      </c>
      <c r="AP78">
        <v>27.92000000000003</v>
      </c>
      <c r="AQ78">
        <v>0</v>
      </c>
    </row>
    <row r="79" spans="1:43" x14ac:dyDescent="0.2">
      <c r="A79">
        <v>322</v>
      </c>
      <c r="B79">
        <v>20</v>
      </c>
      <c r="C79">
        <v>583.33333333333337</v>
      </c>
      <c r="D79">
        <v>833.33333333333337</v>
      </c>
      <c r="E79">
        <v>583.33333333333337</v>
      </c>
      <c r="F79">
        <f t="shared" si="17"/>
        <v>1416.6666666666667</v>
      </c>
      <c r="G79">
        <f t="shared" si="18"/>
        <v>1416.6666666666667</v>
      </c>
      <c r="H79">
        <v>2000</v>
      </c>
      <c r="I79">
        <v>0.87500000000000011</v>
      </c>
      <c r="J79">
        <v>1.25</v>
      </c>
      <c r="K79">
        <v>0.87500000000000011</v>
      </c>
      <c r="L79">
        <f t="shared" si="19"/>
        <v>2.1250000000000004</v>
      </c>
      <c r="M79">
        <f t="shared" si="20"/>
        <v>2.1250000000000004</v>
      </c>
      <c r="N79">
        <v>3</v>
      </c>
      <c r="O79">
        <f t="shared" si="21"/>
        <v>7.4999999999999845E-2</v>
      </c>
      <c r="P79">
        <f t="shared" si="22"/>
        <v>9.9999999999999978E-2</v>
      </c>
      <c r="Q79">
        <f t="shared" si="23"/>
        <v>2.4999999999999911E-2</v>
      </c>
      <c r="R79">
        <f t="shared" si="24"/>
        <v>2.5000000000000439E-2</v>
      </c>
      <c r="S79">
        <f t="shared" si="25"/>
        <v>7.5000000000000441E-2</v>
      </c>
      <c r="T79">
        <f t="shared" si="26"/>
        <v>0</v>
      </c>
      <c r="U79">
        <f t="shared" si="27"/>
        <v>7.4999999999999845E-2</v>
      </c>
      <c r="V79">
        <f t="shared" si="28"/>
        <v>0.12747548783981949</v>
      </c>
      <c r="W79">
        <f t="shared" si="29"/>
        <v>7.905694150421004E-2</v>
      </c>
      <c r="X79">
        <v>0</v>
      </c>
      <c r="Y79">
        <v>105.6</v>
      </c>
      <c r="Z79">
        <v>88.8</v>
      </c>
      <c r="AA79">
        <v>103.2</v>
      </c>
      <c r="AB79">
        <v>8.820000000000114</v>
      </c>
      <c r="AC79">
        <v>0.77999999999996761</v>
      </c>
      <c r="AD79">
        <v>7.1399999999999837</v>
      </c>
      <c r="AE79">
        <v>7.2599999999999349</v>
      </c>
      <c r="AF79">
        <v>23.999999999999261</v>
      </c>
      <c r="AG79">
        <v>360</v>
      </c>
      <c r="AH79">
        <v>383.99999999999932</v>
      </c>
      <c r="AI79">
        <v>180</v>
      </c>
      <c r="AJ79">
        <v>0</v>
      </c>
      <c r="AK79">
        <v>0.6</v>
      </c>
      <c r="AL79">
        <v>13.680000000000129</v>
      </c>
      <c r="AM79">
        <v>14.51999999999987</v>
      </c>
      <c r="AN79">
        <v>17.640000000000231</v>
      </c>
      <c r="AO79">
        <v>0.95999999999993535</v>
      </c>
      <c r="AP79">
        <v>0.59999999999983833</v>
      </c>
      <c r="AQ79">
        <v>0</v>
      </c>
    </row>
    <row r="80" spans="1:43" x14ac:dyDescent="0.2">
      <c r="A80">
        <v>323</v>
      </c>
      <c r="B80">
        <v>50</v>
      </c>
      <c r="C80">
        <v>750</v>
      </c>
      <c r="D80">
        <v>833.33333333333337</v>
      </c>
      <c r="E80">
        <v>750</v>
      </c>
      <c r="F80">
        <f t="shared" si="17"/>
        <v>1583.3333333333335</v>
      </c>
      <c r="G80">
        <f t="shared" si="18"/>
        <v>1583.3333333333335</v>
      </c>
      <c r="H80">
        <v>2333.333333333333</v>
      </c>
      <c r="I80">
        <v>0.45</v>
      </c>
      <c r="J80">
        <v>0.5</v>
      </c>
      <c r="K80">
        <v>0.45</v>
      </c>
      <c r="L80">
        <f t="shared" si="19"/>
        <v>0.95000000000000007</v>
      </c>
      <c r="M80">
        <f t="shared" si="20"/>
        <v>0.95000000000000007</v>
      </c>
      <c r="N80">
        <v>1.4</v>
      </c>
      <c r="O80">
        <f t="shared" si="21"/>
        <v>0</v>
      </c>
      <c r="P80">
        <f t="shared" si="22"/>
        <v>0</v>
      </c>
      <c r="Q80">
        <f t="shared" si="23"/>
        <v>0</v>
      </c>
      <c r="R80">
        <f t="shared" si="24"/>
        <v>0</v>
      </c>
      <c r="S80">
        <f t="shared" si="25"/>
        <v>0</v>
      </c>
      <c r="T80">
        <f t="shared" si="26"/>
        <v>0.10000000000000009</v>
      </c>
      <c r="U80">
        <f t="shared" si="27"/>
        <v>0.10000000000000009</v>
      </c>
      <c r="V80">
        <f t="shared" si="28"/>
        <v>0</v>
      </c>
      <c r="W80">
        <f t="shared" si="29"/>
        <v>0.10000000000000009</v>
      </c>
      <c r="X80">
        <v>0</v>
      </c>
      <c r="Y80">
        <v>66</v>
      </c>
      <c r="Z80">
        <v>1.2</v>
      </c>
      <c r="AA80">
        <v>64.8</v>
      </c>
      <c r="AB80">
        <v>0</v>
      </c>
      <c r="AC80">
        <v>8.4</v>
      </c>
      <c r="AD80">
        <v>1.19999999999996</v>
      </c>
      <c r="AE80">
        <v>2.4</v>
      </c>
      <c r="AF80">
        <v>11.999999999999799</v>
      </c>
      <c r="AG80">
        <v>168</v>
      </c>
      <c r="AH80">
        <v>179.9999999999998</v>
      </c>
      <c r="AI80">
        <v>180</v>
      </c>
      <c r="AJ80">
        <v>0</v>
      </c>
      <c r="AK80">
        <v>12</v>
      </c>
      <c r="AL80">
        <v>0</v>
      </c>
      <c r="AM80">
        <v>4.8</v>
      </c>
      <c r="AN80">
        <v>0</v>
      </c>
      <c r="AO80">
        <v>4.8</v>
      </c>
      <c r="AP80">
        <v>2.3999999999999191</v>
      </c>
      <c r="AQ80">
        <v>0</v>
      </c>
    </row>
    <row r="81" spans="1:43" x14ac:dyDescent="0.2">
      <c r="A81">
        <v>323</v>
      </c>
      <c r="B81">
        <v>47.5</v>
      </c>
      <c r="C81">
        <v>750</v>
      </c>
      <c r="D81">
        <v>833.33333333333337</v>
      </c>
      <c r="E81">
        <v>750</v>
      </c>
      <c r="F81">
        <f t="shared" si="17"/>
        <v>1583.3333333333335</v>
      </c>
      <c r="G81">
        <f t="shared" si="18"/>
        <v>1583.3333333333335</v>
      </c>
      <c r="H81">
        <v>2333.333333333333</v>
      </c>
      <c r="I81">
        <v>0.47368421052631582</v>
      </c>
      <c r="J81">
        <v>0.52631578947368429</v>
      </c>
      <c r="K81">
        <v>0.47368421052631582</v>
      </c>
      <c r="L81">
        <f t="shared" si="19"/>
        <v>1.0000000000000002</v>
      </c>
      <c r="M81">
        <f t="shared" si="20"/>
        <v>1.0000000000000002</v>
      </c>
      <c r="N81">
        <v>1.4736842105263159</v>
      </c>
      <c r="O81">
        <f t="shared" si="21"/>
        <v>0</v>
      </c>
      <c r="P81">
        <f t="shared" si="22"/>
        <v>0</v>
      </c>
      <c r="Q81">
        <f t="shared" si="23"/>
        <v>0</v>
      </c>
      <c r="R81">
        <f t="shared" si="24"/>
        <v>0</v>
      </c>
      <c r="S81">
        <f t="shared" si="25"/>
        <v>0</v>
      </c>
      <c r="T81">
        <f t="shared" si="26"/>
        <v>2.631578947368407E-2</v>
      </c>
      <c r="U81">
        <f t="shared" si="27"/>
        <v>2.631578947368407E-2</v>
      </c>
      <c r="V81">
        <f t="shared" si="28"/>
        <v>0</v>
      </c>
      <c r="W81">
        <f t="shared" si="29"/>
        <v>2.631578947368407E-2</v>
      </c>
      <c r="X81">
        <v>0</v>
      </c>
      <c r="Y81">
        <v>58.8</v>
      </c>
      <c r="Z81">
        <v>0</v>
      </c>
      <c r="AA81">
        <v>58.8</v>
      </c>
      <c r="AB81">
        <v>0</v>
      </c>
      <c r="AC81">
        <v>0.97894736842103558</v>
      </c>
      <c r="AD81">
        <v>2.1789473684211158</v>
      </c>
      <c r="AE81">
        <v>-2.4253192047278091E-13</v>
      </c>
      <c r="AF81">
        <v>3.1578947368417829</v>
      </c>
      <c r="AG81">
        <v>176.84210526315789</v>
      </c>
      <c r="AH81">
        <v>179.99999999999969</v>
      </c>
      <c r="AI81">
        <v>180</v>
      </c>
      <c r="AJ81">
        <v>0</v>
      </c>
      <c r="AK81">
        <v>1.9578947368420709</v>
      </c>
      <c r="AL81">
        <v>0</v>
      </c>
      <c r="AM81">
        <v>-4.8506384094556172E-13</v>
      </c>
      <c r="AN81">
        <v>0</v>
      </c>
      <c r="AO81">
        <v>0</v>
      </c>
      <c r="AP81">
        <v>4.3578947368422316</v>
      </c>
      <c r="AQ81">
        <v>0</v>
      </c>
    </row>
    <row r="82" spans="1:43" x14ac:dyDescent="0.2">
      <c r="A82">
        <v>323</v>
      </c>
      <c r="B82">
        <v>45</v>
      </c>
      <c r="C82">
        <v>750</v>
      </c>
      <c r="D82">
        <v>833.33333333333337</v>
      </c>
      <c r="E82">
        <v>750</v>
      </c>
      <c r="F82">
        <f t="shared" si="17"/>
        <v>1583.3333333333335</v>
      </c>
      <c r="G82">
        <f t="shared" si="18"/>
        <v>1583.3333333333335</v>
      </c>
      <c r="H82">
        <v>2333.333333333333</v>
      </c>
      <c r="I82">
        <v>0.5</v>
      </c>
      <c r="J82">
        <v>0.55555555555555558</v>
      </c>
      <c r="K82">
        <v>0.5</v>
      </c>
      <c r="L82">
        <f t="shared" si="19"/>
        <v>1.0555555555555556</v>
      </c>
      <c r="M82">
        <f t="shared" si="20"/>
        <v>1.0555555555555556</v>
      </c>
      <c r="N82">
        <v>1.555555555555556</v>
      </c>
      <c r="O82">
        <f t="shared" si="21"/>
        <v>0</v>
      </c>
      <c r="P82">
        <f t="shared" si="22"/>
        <v>0</v>
      </c>
      <c r="Q82">
        <f t="shared" si="23"/>
        <v>0</v>
      </c>
      <c r="R82">
        <f t="shared" si="24"/>
        <v>0</v>
      </c>
      <c r="S82">
        <f t="shared" si="25"/>
        <v>5.5555555555555775E-3</v>
      </c>
      <c r="T82">
        <f t="shared" si="26"/>
        <v>5.5555555555556024E-2</v>
      </c>
      <c r="U82">
        <f t="shared" si="27"/>
        <v>5.5555555555556024E-2</v>
      </c>
      <c r="V82">
        <f t="shared" si="28"/>
        <v>0</v>
      </c>
      <c r="W82">
        <f t="shared" si="29"/>
        <v>5.5832642339560964E-2</v>
      </c>
      <c r="X82">
        <v>0</v>
      </c>
      <c r="Y82">
        <v>48</v>
      </c>
      <c r="Z82">
        <v>0</v>
      </c>
      <c r="AA82">
        <v>60</v>
      </c>
      <c r="AB82">
        <v>0.66666666666658581</v>
      </c>
      <c r="AC82">
        <v>2.6666666666665861</v>
      </c>
      <c r="AD82">
        <v>0</v>
      </c>
      <c r="AE82">
        <v>3.3333333333333739</v>
      </c>
      <c r="AF82">
        <v>6.6666666666664014</v>
      </c>
      <c r="AG82">
        <v>186.66666666666671</v>
      </c>
      <c r="AH82">
        <v>193.33333333333309</v>
      </c>
      <c r="AI82">
        <v>180</v>
      </c>
      <c r="AJ82">
        <v>0</v>
      </c>
      <c r="AK82">
        <v>0</v>
      </c>
      <c r="AL82">
        <v>0</v>
      </c>
      <c r="AM82">
        <v>6.6666666666667478</v>
      </c>
      <c r="AN82">
        <v>1.3333333333331721</v>
      </c>
      <c r="AO82">
        <v>5.3333333333331714</v>
      </c>
      <c r="AP82">
        <v>0</v>
      </c>
      <c r="AQ82">
        <v>0</v>
      </c>
    </row>
    <row r="83" spans="1:43" x14ac:dyDescent="0.2">
      <c r="A83">
        <v>323</v>
      </c>
      <c r="B83">
        <v>42.5</v>
      </c>
      <c r="C83">
        <v>750</v>
      </c>
      <c r="D83">
        <v>833.33333333333337</v>
      </c>
      <c r="E83">
        <v>750</v>
      </c>
      <c r="F83">
        <f t="shared" si="17"/>
        <v>1583.3333333333335</v>
      </c>
      <c r="G83">
        <f t="shared" si="18"/>
        <v>1583.3333333333335</v>
      </c>
      <c r="H83">
        <v>2333.333333333333</v>
      </c>
      <c r="I83">
        <v>0.52941176470588236</v>
      </c>
      <c r="J83">
        <v>0.58823529411764708</v>
      </c>
      <c r="K83">
        <v>0.52941176470588236</v>
      </c>
      <c r="L83">
        <f t="shared" si="19"/>
        <v>1.1176470588235294</v>
      </c>
      <c r="M83">
        <f t="shared" si="20"/>
        <v>1.1176470588235294</v>
      </c>
      <c r="N83">
        <v>1.6470588235294119</v>
      </c>
      <c r="O83">
        <f t="shared" si="21"/>
        <v>0</v>
      </c>
      <c r="P83">
        <f t="shared" si="22"/>
        <v>0</v>
      </c>
      <c r="Q83">
        <f t="shared" si="23"/>
        <v>0</v>
      </c>
      <c r="R83">
        <f t="shared" si="24"/>
        <v>1.7647058823529432E-2</v>
      </c>
      <c r="S83">
        <f t="shared" si="25"/>
        <v>6.7647058823529435E-2</v>
      </c>
      <c r="T83">
        <f t="shared" si="26"/>
        <v>0.14705882352941191</v>
      </c>
      <c r="U83">
        <f t="shared" si="27"/>
        <v>0.14705882352941191</v>
      </c>
      <c r="V83">
        <f t="shared" si="28"/>
        <v>0</v>
      </c>
      <c r="W83">
        <f t="shared" si="29"/>
        <v>0.16283071218431083</v>
      </c>
      <c r="X83">
        <v>0</v>
      </c>
      <c r="Y83">
        <v>45.6</v>
      </c>
      <c r="Z83">
        <v>0</v>
      </c>
      <c r="AA83">
        <v>58.8</v>
      </c>
      <c r="AB83">
        <v>2.0964705882350652</v>
      </c>
      <c r="AC83">
        <v>8.498823529411796</v>
      </c>
      <c r="AD83">
        <v>0.18834602076122889</v>
      </c>
      <c r="AE83">
        <v>6.8634186851212382</v>
      </c>
      <c r="AF83">
        <v>17.647058823529161</v>
      </c>
      <c r="AG83">
        <v>197.64705882352939</v>
      </c>
      <c r="AH83">
        <v>215.29411764705861</v>
      </c>
      <c r="AI83">
        <v>180</v>
      </c>
      <c r="AJ83">
        <v>0</v>
      </c>
      <c r="AK83">
        <v>4.7435294117647571</v>
      </c>
      <c r="AL83">
        <v>0.37669204152245778</v>
      </c>
      <c r="AM83">
        <v>13.72683737024248</v>
      </c>
      <c r="AN83">
        <v>4.1929411764701294</v>
      </c>
      <c r="AO83">
        <v>12.254117647058839</v>
      </c>
      <c r="AP83">
        <v>0</v>
      </c>
      <c r="AQ83">
        <v>0</v>
      </c>
    </row>
    <row r="84" spans="1:43" x14ac:dyDescent="0.2">
      <c r="A84">
        <v>323</v>
      </c>
      <c r="B84">
        <v>40</v>
      </c>
      <c r="C84">
        <v>750</v>
      </c>
      <c r="D84">
        <v>833.33333333333337</v>
      </c>
      <c r="E84">
        <v>750</v>
      </c>
      <c r="F84">
        <f t="shared" si="17"/>
        <v>1583.3333333333335</v>
      </c>
      <c r="G84">
        <f t="shared" si="18"/>
        <v>1583.3333333333335</v>
      </c>
      <c r="H84">
        <v>2333.333333333333</v>
      </c>
      <c r="I84">
        <v>0.5625</v>
      </c>
      <c r="J84">
        <v>0.62500000000000011</v>
      </c>
      <c r="K84">
        <v>0.5625</v>
      </c>
      <c r="L84">
        <f t="shared" si="19"/>
        <v>1.1875000000000002</v>
      </c>
      <c r="M84">
        <f t="shared" si="20"/>
        <v>1.1875000000000002</v>
      </c>
      <c r="N84">
        <v>1.75</v>
      </c>
      <c r="O84">
        <f t="shared" si="21"/>
        <v>1.2499999999999956E-2</v>
      </c>
      <c r="P84">
        <f t="shared" si="22"/>
        <v>0</v>
      </c>
      <c r="Q84">
        <f t="shared" si="23"/>
        <v>0</v>
      </c>
      <c r="R84">
        <f t="shared" si="24"/>
        <v>8.7500000000000216E-2</v>
      </c>
      <c r="S84">
        <f t="shared" si="25"/>
        <v>0.13750000000000023</v>
      </c>
      <c r="T84">
        <f t="shared" si="26"/>
        <v>0.25</v>
      </c>
      <c r="U84">
        <f t="shared" si="27"/>
        <v>0.25031230493125983</v>
      </c>
      <c r="V84">
        <f t="shared" si="28"/>
        <v>1.2499999999999956E-2</v>
      </c>
      <c r="W84">
        <f t="shared" si="29"/>
        <v>0.29843340965783322</v>
      </c>
      <c r="X84">
        <v>0</v>
      </c>
      <c r="Y84">
        <v>55.2</v>
      </c>
      <c r="Z84">
        <v>0</v>
      </c>
      <c r="AA84">
        <v>88.8</v>
      </c>
      <c r="AB84">
        <v>11.760000000000019</v>
      </c>
      <c r="AC84">
        <v>14.06999999999983</v>
      </c>
      <c r="AD84">
        <v>3.689999999999984</v>
      </c>
      <c r="AE84">
        <v>0.4800000000000485</v>
      </c>
      <c r="AF84">
        <v>29.999999999999801</v>
      </c>
      <c r="AG84">
        <v>210</v>
      </c>
      <c r="AH84">
        <v>239.9999999999998</v>
      </c>
      <c r="AI84">
        <v>180</v>
      </c>
      <c r="AJ84">
        <v>0</v>
      </c>
      <c r="AK84">
        <v>0.23999999999982211</v>
      </c>
      <c r="AL84">
        <v>0</v>
      </c>
      <c r="AM84">
        <v>0.960000000000097</v>
      </c>
      <c r="AN84">
        <v>23.520000000000032</v>
      </c>
      <c r="AO84">
        <v>27.899999999999839</v>
      </c>
      <c r="AP84">
        <v>7.3799999999999679</v>
      </c>
      <c r="AQ84">
        <v>0</v>
      </c>
    </row>
    <row r="85" spans="1:43" x14ac:dyDescent="0.2">
      <c r="A85">
        <v>323</v>
      </c>
      <c r="B85">
        <v>37.5</v>
      </c>
      <c r="C85">
        <v>750</v>
      </c>
      <c r="D85">
        <v>833.33333333333337</v>
      </c>
      <c r="E85">
        <v>750</v>
      </c>
      <c r="F85">
        <f t="shared" si="17"/>
        <v>1583.3333333333335</v>
      </c>
      <c r="G85">
        <f t="shared" si="18"/>
        <v>1583.3333333333335</v>
      </c>
      <c r="H85">
        <v>2333.333333333333</v>
      </c>
      <c r="I85">
        <v>0.6</v>
      </c>
      <c r="J85">
        <v>0.66666666666666674</v>
      </c>
      <c r="K85">
        <v>0.6</v>
      </c>
      <c r="L85">
        <f t="shared" si="19"/>
        <v>1.2666666666666668</v>
      </c>
      <c r="M85">
        <f t="shared" si="20"/>
        <v>1.2666666666666668</v>
      </c>
      <c r="N85">
        <v>1.8666666666666669</v>
      </c>
      <c r="O85">
        <f t="shared" si="21"/>
        <v>4.9999999999999933E-2</v>
      </c>
      <c r="P85">
        <f t="shared" si="22"/>
        <v>1.6666666666666718E-2</v>
      </c>
      <c r="Q85">
        <f t="shared" si="23"/>
        <v>0</v>
      </c>
      <c r="R85">
        <f t="shared" si="24"/>
        <v>0.13333333333333319</v>
      </c>
      <c r="S85">
        <f t="shared" si="25"/>
        <v>0.18333333333333318</v>
      </c>
      <c r="T85">
        <f t="shared" si="26"/>
        <v>0.13333333333333308</v>
      </c>
      <c r="U85">
        <f t="shared" si="27"/>
        <v>0.1424000624219586</v>
      </c>
      <c r="V85">
        <f t="shared" si="28"/>
        <v>5.2704627669472946E-2</v>
      </c>
      <c r="W85">
        <f t="shared" si="29"/>
        <v>0.26299556396765805</v>
      </c>
      <c r="X85">
        <v>0</v>
      </c>
      <c r="Y85">
        <v>52.8</v>
      </c>
      <c r="Z85">
        <v>21.6</v>
      </c>
      <c r="AA85">
        <v>100.8</v>
      </c>
      <c r="AB85">
        <v>2.3999999999998378</v>
      </c>
      <c r="AC85">
        <v>20.72000000000007</v>
      </c>
      <c r="AD85">
        <v>2.6879999999999402</v>
      </c>
      <c r="AE85">
        <v>2.1919999999995019</v>
      </c>
      <c r="AF85">
        <v>27.999999999999471</v>
      </c>
      <c r="AG85">
        <v>224</v>
      </c>
      <c r="AH85">
        <v>251.99999999999949</v>
      </c>
      <c r="AI85">
        <v>180</v>
      </c>
      <c r="AJ85">
        <v>0</v>
      </c>
      <c r="AK85">
        <v>5.7599999999999349</v>
      </c>
      <c r="AL85">
        <v>1.05600000000001</v>
      </c>
      <c r="AM85">
        <v>4.3839999999990038</v>
      </c>
      <c r="AN85">
        <v>4.7999999999996774</v>
      </c>
      <c r="AO85">
        <v>35.680000000000213</v>
      </c>
      <c r="AP85">
        <v>4.3199999999998706</v>
      </c>
      <c r="AQ85">
        <v>0</v>
      </c>
    </row>
    <row r="86" spans="1:43" x14ac:dyDescent="0.2">
      <c r="A86">
        <v>323</v>
      </c>
      <c r="B86">
        <v>35</v>
      </c>
      <c r="C86">
        <v>750</v>
      </c>
      <c r="D86">
        <v>833.33333333333337</v>
      </c>
      <c r="E86">
        <v>750</v>
      </c>
      <c r="F86">
        <f t="shared" si="17"/>
        <v>1583.3333333333335</v>
      </c>
      <c r="G86">
        <f t="shared" si="18"/>
        <v>1583.3333333333335</v>
      </c>
      <c r="H86">
        <v>2333.333333333333</v>
      </c>
      <c r="I86">
        <v>0.64285714285714279</v>
      </c>
      <c r="J86">
        <v>0.7142857142857143</v>
      </c>
      <c r="K86">
        <v>0.64285714285714279</v>
      </c>
      <c r="L86">
        <f t="shared" si="19"/>
        <v>1.3571428571428572</v>
      </c>
      <c r="M86">
        <f t="shared" si="20"/>
        <v>1.3571428571428572</v>
      </c>
      <c r="N86">
        <v>2</v>
      </c>
      <c r="O86">
        <f t="shared" si="21"/>
        <v>9.2857142857142749E-2</v>
      </c>
      <c r="P86">
        <f t="shared" si="22"/>
        <v>6.4285714285714279E-2</v>
      </c>
      <c r="Q86">
        <f t="shared" si="23"/>
        <v>4.2857142857142816E-2</v>
      </c>
      <c r="R86">
        <f t="shared" si="24"/>
        <v>4.2857142857142816E-2</v>
      </c>
      <c r="S86">
        <f t="shared" si="25"/>
        <v>9.2857142857142805E-2</v>
      </c>
      <c r="T86">
        <f t="shared" si="26"/>
        <v>0</v>
      </c>
      <c r="U86">
        <f t="shared" si="27"/>
        <v>9.2857142857142749E-2</v>
      </c>
      <c r="V86">
        <f t="shared" si="28"/>
        <v>0.12079667518062677</v>
      </c>
      <c r="W86">
        <f t="shared" si="29"/>
        <v>0.10227015045197388</v>
      </c>
      <c r="X86">
        <v>0</v>
      </c>
      <c r="Y86">
        <v>62.4</v>
      </c>
      <c r="Z86">
        <v>33.6</v>
      </c>
      <c r="AA86">
        <v>116.4</v>
      </c>
      <c r="AB86">
        <v>8.2628571428565518</v>
      </c>
      <c r="AC86">
        <v>10.25142857142859</v>
      </c>
      <c r="AD86">
        <v>4.9082448979587854</v>
      </c>
      <c r="AE86">
        <v>0.57746938775514234</v>
      </c>
      <c r="AF86">
        <v>23.999999999999289</v>
      </c>
      <c r="AG86">
        <v>240.00000000000011</v>
      </c>
      <c r="AH86">
        <v>263.99999999999932</v>
      </c>
      <c r="AI86">
        <v>180</v>
      </c>
      <c r="AJ86">
        <v>0</v>
      </c>
      <c r="AK86">
        <v>2.194285714285555</v>
      </c>
      <c r="AL86">
        <v>0.25077551020359451</v>
      </c>
      <c r="AM86">
        <v>1.1549387755102849</v>
      </c>
      <c r="AN86">
        <v>16.5257142857131</v>
      </c>
      <c r="AO86">
        <v>18.308571428571629</v>
      </c>
      <c r="AP86">
        <v>9.5657142857139768</v>
      </c>
      <c r="AQ86">
        <v>0</v>
      </c>
    </row>
    <row r="87" spans="1:43" x14ac:dyDescent="0.2">
      <c r="A87">
        <v>323</v>
      </c>
      <c r="B87">
        <v>32.5</v>
      </c>
      <c r="C87">
        <v>750</v>
      </c>
      <c r="D87">
        <v>833.33333333333337</v>
      </c>
      <c r="E87">
        <v>750</v>
      </c>
      <c r="F87">
        <f t="shared" si="17"/>
        <v>1583.3333333333335</v>
      </c>
      <c r="G87">
        <f t="shared" si="18"/>
        <v>1583.3333333333335</v>
      </c>
      <c r="H87">
        <v>2333.333333333333</v>
      </c>
      <c r="I87">
        <v>0.6923076923076924</v>
      </c>
      <c r="J87">
        <v>0.76923076923076927</v>
      </c>
      <c r="K87">
        <v>0.6923076923076924</v>
      </c>
      <c r="L87">
        <f t="shared" si="19"/>
        <v>1.4615384615384617</v>
      </c>
      <c r="M87">
        <f t="shared" si="20"/>
        <v>1.4615384615384617</v>
      </c>
      <c r="N87">
        <v>2.1538461538461542</v>
      </c>
      <c r="O87">
        <f t="shared" si="21"/>
        <v>0.14230769230769236</v>
      </c>
      <c r="P87">
        <f t="shared" si="22"/>
        <v>8.0769230769230704E-2</v>
      </c>
      <c r="Q87">
        <f t="shared" si="23"/>
        <v>9.2307692307692424E-2</v>
      </c>
      <c r="R87">
        <f t="shared" si="24"/>
        <v>0</v>
      </c>
      <c r="S87">
        <f t="shared" si="25"/>
        <v>0</v>
      </c>
      <c r="T87">
        <f t="shared" si="26"/>
        <v>0.15384615384615419</v>
      </c>
      <c r="U87">
        <f t="shared" si="27"/>
        <v>0.20957127270500456</v>
      </c>
      <c r="V87">
        <f t="shared" si="28"/>
        <v>0.18787191910492027</v>
      </c>
      <c r="W87">
        <f t="shared" si="29"/>
        <v>0.15384615384615419</v>
      </c>
      <c r="X87">
        <v>0</v>
      </c>
      <c r="Y87">
        <v>40.799999999999997</v>
      </c>
      <c r="Z87">
        <v>25.2</v>
      </c>
      <c r="AA87">
        <v>86.399999999999991</v>
      </c>
      <c r="AB87">
        <v>1.9384615384612209</v>
      </c>
      <c r="AC87">
        <v>21.81230769230768</v>
      </c>
      <c r="AD87">
        <v>3.1569230769230159</v>
      </c>
      <c r="AE87">
        <v>10.93846153846154</v>
      </c>
      <c r="AF87">
        <v>37.846153846153193</v>
      </c>
      <c r="AG87">
        <v>258.46153846153851</v>
      </c>
      <c r="AH87">
        <v>296.3076923076917</v>
      </c>
      <c r="AI87">
        <v>180</v>
      </c>
      <c r="AJ87">
        <v>0</v>
      </c>
      <c r="AK87">
        <v>24.221538461538469</v>
      </c>
      <c r="AL87">
        <v>6.1476923076922603</v>
      </c>
      <c r="AM87">
        <v>21.876923076923092</v>
      </c>
      <c r="AN87">
        <v>3.8769230769224432</v>
      </c>
      <c r="AO87">
        <v>19.403076923076881</v>
      </c>
      <c r="AP87">
        <v>0.16615384615377279</v>
      </c>
      <c r="AQ87">
        <v>0</v>
      </c>
    </row>
    <row r="88" spans="1:43" x14ac:dyDescent="0.2">
      <c r="A88">
        <v>323</v>
      </c>
      <c r="B88">
        <v>30</v>
      </c>
      <c r="C88">
        <v>750</v>
      </c>
      <c r="D88">
        <v>833.33333333333337</v>
      </c>
      <c r="E88">
        <v>750</v>
      </c>
      <c r="F88">
        <f t="shared" si="17"/>
        <v>1583.3333333333335</v>
      </c>
      <c r="G88">
        <f t="shared" si="18"/>
        <v>1583.3333333333335</v>
      </c>
      <c r="H88">
        <v>2333.333333333333</v>
      </c>
      <c r="I88">
        <v>0.75</v>
      </c>
      <c r="J88">
        <v>0.83333333333333337</v>
      </c>
      <c r="K88">
        <v>0.75</v>
      </c>
      <c r="L88">
        <f t="shared" si="19"/>
        <v>1.5833333333333335</v>
      </c>
      <c r="M88">
        <f t="shared" si="20"/>
        <v>1.5833333333333335</v>
      </c>
      <c r="N88">
        <v>2.333333333333333</v>
      </c>
      <c r="O88">
        <f t="shared" si="21"/>
        <v>0.19999999999999996</v>
      </c>
      <c r="P88">
        <f t="shared" si="22"/>
        <v>1.6666666666666607E-2</v>
      </c>
      <c r="Q88">
        <f t="shared" si="23"/>
        <v>0.15000000000000002</v>
      </c>
      <c r="R88">
        <f t="shared" si="24"/>
        <v>0</v>
      </c>
      <c r="S88">
        <f t="shared" si="25"/>
        <v>3.3333333333333437E-2</v>
      </c>
      <c r="T88">
        <f t="shared" si="26"/>
        <v>0.16666666666666696</v>
      </c>
      <c r="U88">
        <f t="shared" si="27"/>
        <v>0.26034165586355529</v>
      </c>
      <c r="V88">
        <f t="shared" si="28"/>
        <v>0.25055493963954845</v>
      </c>
      <c r="W88">
        <f t="shared" si="29"/>
        <v>0.16996731711975982</v>
      </c>
      <c r="X88">
        <v>0</v>
      </c>
      <c r="Y88">
        <v>70.8</v>
      </c>
      <c r="Z88">
        <v>73.2</v>
      </c>
      <c r="AA88">
        <v>26.4</v>
      </c>
      <c r="AB88">
        <v>18.223999999999471</v>
      </c>
      <c r="AC88">
        <v>5.6959999999999544</v>
      </c>
      <c r="AD88">
        <v>11.680000000000049</v>
      </c>
      <c r="AE88">
        <v>8.4</v>
      </c>
      <c r="AF88">
        <v>43.999999999999261</v>
      </c>
      <c r="AG88">
        <v>280</v>
      </c>
      <c r="AH88">
        <v>323.99999999999932</v>
      </c>
      <c r="AI88">
        <v>180</v>
      </c>
      <c r="AJ88">
        <v>0</v>
      </c>
      <c r="AK88">
        <v>5.7599999999999349</v>
      </c>
      <c r="AL88">
        <v>11.84000000000006</v>
      </c>
      <c r="AM88">
        <v>16.8</v>
      </c>
      <c r="AN88">
        <v>36.447999999998949</v>
      </c>
      <c r="AO88">
        <v>5.6319999999999713</v>
      </c>
      <c r="AP88">
        <v>11.52000000000003</v>
      </c>
      <c r="AQ88">
        <v>0</v>
      </c>
    </row>
    <row r="89" spans="1:43" x14ac:dyDescent="0.2">
      <c r="A89">
        <v>323</v>
      </c>
      <c r="B89">
        <v>27.5</v>
      </c>
      <c r="C89">
        <v>750</v>
      </c>
      <c r="D89">
        <v>833.33333333333337</v>
      </c>
      <c r="E89">
        <v>750</v>
      </c>
      <c r="F89">
        <f t="shared" si="17"/>
        <v>1583.3333333333335</v>
      </c>
      <c r="G89">
        <f t="shared" si="18"/>
        <v>1583.3333333333335</v>
      </c>
      <c r="H89">
        <v>2333.333333333333</v>
      </c>
      <c r="I89">
        <v>0.81818181818181823</v>
      </c>
      <c r="J89">
        <v>0.90909090909090917</v>
      </c>
      <c r="K89">
        <v>0.81818181818181823</v>
      </c>
      <c r="L89">
        <f t="shared" si="19"/>
        <v>1.7272727272727275</v>
      </c>
      <c r="M89">
        <f t="shared" si="20"/>
        <v>1.7272727272727275</v>
      </c>
      <c r="N89">
        <v>2.5454545454545459</v>
      </c>
      <c r="O89">
        <f t="shared" si="21"/>
        <v>0.13181818181818172</v>
      </c>
      <c r="P89">
        <f t="shared" si="22"/>
        <v>0</v>
      </c>
      <c r="Q89">
        <f t="shared" si="23"/>
        <v>8.181818181818179E-2</v>
      </c>
      <c r="R89">
        <f t="shared" si="24"/>
        <v>0.12727272727272754</v>
      </c>
      <c r="S89">
        <f t="shared" si="25"/>
        <v>0.17727272727272747</v>
      </c>
      <c r="T89">
        <f t="shared" si="26"/>
        <v>4.5454545454545858E-2</v>
      </c>
      <c r="U89">
        <f t="shared" si="27"/>
        <v>0.13943510591070885</v>
      </c>
      <c r="V89">
        <f t="shared" si="28"/>
        <v>0.15514589241705457</v>
      </c>
      <c r="W89">
        <f t="shared" si="29"/>
        <v>0.22291272427707728</v>
      </c>
      <c r="X89">
        <v>0</v>
      </c>
      <c r="Y89">
        <v>4.8</v>
      </c>
      <c r="Z89">
        <v>2.4</v>
      </c>
      <c r="AA89">
        <v>92.399999999999991</v>
      </c>
      <c r="AB89">
        <v>7.0998347107436626</v>
      </c>
      <c r="AC89">
        <v>18.209256198347148</v>
      </c>
      <c r="AD89">
        <v>17.509090909090851</v>
      </c>
      <c r="AE89">
        <v>4.0909090909088262</v>
      </c>
      <c r="AF89">
        <v>46.909090909090047</v>
      </c>
      <c r="AG89">
        <v>305.4545454545455</v>
      </c>
      <c r="AH89">
        <v>352.36363636363558</v>
      </c>
      <c r="AI89">
        <v>180</v>
      </c>
      <c r="AJ89">
        <v>0</v>
      </c>
      <c r="AK89">
        <v>26.61818181818186</v>
      </c>
      <c r="AL89">
        <v>8.5090909090910127</v>
      </c>
      <c r="AM89">
        <v>8.1818181818176523</v>
      </c>
      <c r="AN89">
        <v>14.19966942148733</v>
      </c>
      <c r="AO89">
        <v>9.8003305785124315</v>
      </c>
      <c r="AP89">
        <v>26.509090909090691</v>
      </c>
      <c r="AQ89">
        <v>0</v>
      </c>
    </row>
    <row r="90" spans="1:43" x14ac:dyDescent="0.2">
      <c r="A90">
        <v>323</v>
      </c>
      <c r="B90">
        <v>25</v>
      </c>
      <c r="C90">
        <v>750</v>
      </c>
      <c r="D90">
        <v>833.33333333333337</v>
      </c>
      <c r="E90">
        <v>750</v>
      </c>
      <c r="F90">
        <f t="shared" si="17"/>
        <v>1583.3333333333335</v>
      </c>
      <c r="G90">
        <f t="shared" si="18"/>
        <v>1583.3333333333335</v>
      </c>
      <c r="H90">
        <v>2333.333333333333</v>
      </c>
      <c r="I90">
        <v>0.89999999999999991</v>
      </c>
      <c r="J90">
        <v>1</v>
      </c>
      <c r="K90">
        <v>0.89999999999999991</v>
      </c>
      <c r="L90">
        <f t="shared" si="19"/>
        <v>1.9000000000000001</v>
      </c>
      <c r="M90">
        <f t="shared" si="20"/>
        <v>1.9000000000000001</v>
      </c>
      <c r="N90">
        <v>2.8</v>
      </c>
      <c r="O90">
        <f t="shared" si="21"/>
        <v>5.0000000000000044E-2</v>
      </c>
      <c r="P90">
        <f t="shared" si="22"/>
        <v>0</v>
      </c>
      <c r="Q90">
        <f t="shared" si="23"/>
        <v>0</v>
      </c>
      <c r="R90">
        <f t="shared" si="24"/>
        <v>0</v>
      </c>
      <c r="S90">
        <f t="shared" si="25"/>
        <v>4.9999999999999822E-2</v>
      </c>
      <c r="T90">
        <f t="shared" si="26"/>
        <v>0.20000000000000018</v>
      </c>
      <c r="U90">
        <f t="shared" si="27"/>
        <v>0.2061552812808832</v>
      </c>
      <c r="V90">
        <f t="shared" si="28"/>
        <v>5.0000000000000044E-2</v>
      </c>
      <c r="W90">
        <f t="shared" si="29"/>
        <v>0.20615528128088315</v>
      </c>
      <c r="X90">
        <v>0</v>
      </c>
      <c r="Y90">
        <v>4.8</v>
      </c>
      <c r="Z90">
        <v>8.4</v>
      </c>
      <c r="AA90">
        <v>116.4</v>
      </c>
      <c r="AB90">
        <v>1.8</v>
      </c>
      <c r="AC90">
        <v>8.3999999999999186</v>
      </c>
      <c r="AD90">
        <v>13.799999999999921</v>
      </c>
      <c r="AE90">
        <v>0</v>
      </c>
      <c r="AF90">
        <v>23.999999999999769</v>
      </c>
      <c r="AG90">
        <v>336</v>
      </c>
      <c r="AH90">
        <v>359.99999999999977</v>
      </c>
      <c r="AI90">
        <v>180</v>
      </c>
      <c r="AJ90">
        <v>0</v>
      </c>
      <c r="AK90">
        <v>16.799999999999841</v>
      </c>
      <c r="AL90">
        <v>3.599999999999838</v>
      </c>
      <c r="AM90">
        <v>0</v>
      </c>
      <c r="AN90">
        <v>3.6</v>
      </c>
      <c r="AO90">
        <v>0</v>
      </c>
      <c r="AP90">
        <v>24</v>
      </c>
      <c r="AQ90">
        <v>0</v>
      </c>
    </row>
    <row r="91" spans="1:43" x14ac:dyDescent="0.2">
      <c r="A91">
        <v>323</v>
      </c>
      <c r="B91">
        <v>22.5</v>
      </c>
      <c r="C91">
        <v>750</v>
      </c>
      <c r="D91">
        <v>833.33333333333337</v>
      </c>
      <c r="E91">
        <v>750</v>
      </c>
      <c r="F91">
        <f t="shared" si="17"/>
        <v>1583.3333333333335</v>
      </c>
      <c r="G91">
        <f t="shared" si="18"/>
        <v>1583.3333333333335</v>
      </c>
      <c r="H91">
        <v>2333.333333333333</v>
      </c>
      <c r="I91">
        <v>1</v>
      </c>
      <c r="J91">
        <v>1.1111111111111109</v>
      </c>
      <c r="K91">
        <v>1</v>
      </c>
      <c r="L91">
        <f t="shared" si="19"/>
        <v>2.1111111111111112</v>
      </c>
      <c r="M91">
        <f t="shared" si="20"/>
        <v>2.1111111111111112</v>
      </c>
      <c r="N91">
        <v>3.1111111111111112</v>
      </c>
      <c r="O91">
        <f t="shared" si="21"/>
        <v>0</v>
      </c>
      <c r="P91">
        <f t="shared" si="22"/>
        <v>0</v>
      </c>
      <c r="Q91">
        <f t="shared" si="23"/>
        <v>0</v>
      </c>
      <c r="R91">
        <f t="shared" si="24"/>
        <v>1.1111111111111155E-2</v>
      </c>
      <c r="S91">
        <f t="shared" si="25"/>
        <v>6.1111111111111158E-2</v>
      </c>
      <c r="T91">
        <f t="shared" si="26"/>
        <v>0.11111111111111116</v>
      </c>
      <c r="U91">
        <f t="shared" si="27"/>
        <v>0.11111111111111116</v>
      </c>
      <c r="V91">
        <f t="shared" si="28"/>
        <v>0</v>
      </c>
      <c r="W91">
        <f t="shared" si="29"/>
        <v>0.12729376930432895</v>
      </c>
      <c r="X91">
        <v>0</v>
      </c>
      <c r="Y91">
        <v>110.4</v>
      </c>
      <c r="Z91">
        <v>92.399999999999991</v>
      </c>
      <c r="AA91">
        <v>116.4</v>
      </c>
      <c r="AB91">
        <v>1.933333333332929</v>
      </c>
      <c r="AC91">
        <v>2.9333333333333331</v>
      </c>
      <c r="AD91">
        <v>5.0800000000000889</v>
      </c>
      <c r="AE91">
        <v>3.3866666666666991</v>
      </c>
      <c r="AF91">
        <v>13.33333333333263</v>
      </c>
      <c r="AG91">
        <v>373.33333333333343</v>
      </c>
      <c r="AH91">
        <v>386.666666666666</v>
      </c>
      <c r="AI91">
        <v>180</v>
      </c>
      <c r="AJ91">
        <v>0</v>
      </c>
      <c r="AK91">
        <v>0</v>
      </c>
      <c r="AL91">
        <v>10.16000000000018</v>
      </c>
      <c r="AM91">
        <v>6.7733333333333983</v>
      </c>
      <c r="AN91">
        <v>3.866666666665858</v>
      </c>
      <c r="AO91">
        <v>5.8666666666666663</v>
      </c>
      <c r="AP91">
        <v>0</v>
      </c>
      <c r="AQ91">
        <v>0</v>
      </c>
    </row>
    <row r="92" spans="1:43" x14ac:dyDescent="0.2">
      <c r="A92">
        <v>323</v>
      </c>
      <c r="B92">
        <v>20</v>
      </c>
      <c r="C92">
        <v>750</v>
      </c>
      <c r="D92">
        <v>833.33333333333337</v>
      </c>
      <c r="E92">
        <v>750</v>
      </c>
      <c r="F92">
        <f t="shared" si="17"/>
        <v>1583.3333333333335</v>
      </c>
      <c r="G92">
        <f t="shared" si="18"/>
        <v>1583.3333333333335</v>
      </c>
      <c r="H92">
        <v>2333.333333333333</v>
      </c>
      <c r="I92">
        <v>1.125</v>
      </c>
      <c r="J92">
        <v>1.25</v>
      </c>
      <c r="K92">
        <v>1.125</v>
      </c>
      <c r="L92">
        <f t="shared" si="19"/>
        <v>2.3750000000000004</v>
      </c>
      <c r="M92">
        <f t="shared" si="20"/>
        <v>2.3750000000000004</v>
      </c>
      <c r="N92">
        <v>3.5</v>
      </c>
      <c r="O92">
        <f t="shared" si="21"/>
        <v>7.4999999999999997E-2</v>
      </c>
      <c r="P92">
        <f t="shared" si="22"/>
        <v>9.9999999999999978E-2</v>
      </c>
      <c r="Q92">
        <f t="shared" si="23"/>
        <v>2.4999999999999994E-2</v>
      </c>
      <c r="R92">
        <f t="shared" si="24"/>
        <v>2.4999999999999578E-2</v>
      </c>
      <c r="S92">
        <f t="shared" si="25"/>
        <v>7.4999999999999567E-2</v>
      </c>
      <c r="T92">
        <f t="shared" si="26"/>
        <v>0</v>
      </c>
      <c r="U92">
        <f t="shared" si="27"/>
        <v>7.4999999999999997E-2</v>
      </c>
      <c r="V92">
        <f t="shared" si="28"/>
        <v>0.1274754878398196</v>
      </c>
      <c r="W92">
        <f t="shared" si="29"/>
        <v>7.905694150420893E-2</v>
      </c>
      <c r="X92">
        <v>0</v>
      </c>
      <c r="Y92">
        <v>110.4</v>
      </c>
      <c r="Z92">
        <v>57.599999999999987</v>
      </c>
      <c r="AA92">
        <v>68.399999999999991</v>
      </c>
      <c r="AB92">
        <v>3.3180000000000289</v>
      </c>
      <c r="AC92">
        <v>5.3820000000000521</v>
      </c>
      <c r="AD92">
        <v>13.4399999999999</v>
      </c>
      <c r="AE92">
        <v>1.859999999999693</v>
      </c>
      <c r="AF92">
        <v>23.999999999998611</v>
      </c>
      <c r="AG92">
        <v>420</v>
      </c>
      <c r="AH92">
        <v>443.99999999999858</v>
      </c>
      <c r="AI92">
        <v>180</v>
      </c>
      <c r="AJ92">
        <v>0</v>
      </c>
      <c r="AK92">
        <v>10.07999999999997</v>
      </c>
      <c r="AL92">
        <v>25.799999999999919</v>
      </c>
      <c r="AM92">
        <v>3.719999999999386</v>
      </c>
      <c r="AN92">
        <v>6.6360000000000579</v>
      </c>
      <c r="AO92">
        <v>0.68400000000013583</v>
      </c>
      <c r="AP92">
        <v>1.0799999999998871</v>
      </c>
      <c r="AQ92">
        <v>0</v>
      </c>
    </row>
    <row r="93" spans="1:43" x14ac:dyDescent="0.2">
      <c r="A93">
        <v>324</v>
      </c>
      <c r="B93">
        <v>50</v>
      </c>
      <c r="C93">
        <v>416.66666666666669</v>
      </c>
      <c r="D93">
        <v>833.33333333333337</v>
      </c>
      <c r="E93">
        <v>416.66666666666669</v>
      </c>
      <c r="F93">
        <f t="shared" si="17"/>
        <v>1250</v>
      </c>
      <c r="G93">
        <f t="shared" si="18"/>
        <v>1250</v>
      </c>
      <c r="H93">
        <v>1666.666666666667</v>
      </c>
      <c r="I93">
        <v>0.25</v>
      </c>
      <c r="J93">
        <v>0.5</v>
      </c>
      <c r="K93">
        <v>0.25</v>
      </c>
      <c r="L93">
        <f t="shared" si="19"/>
        <v>0.75</v>
      </c>
      <c r="M93">
        <f t="shared" si="20"/>
        <v>0.75</v>
      </c>
      <c r="N93">
        <v>1</v>
      </c>
      <c r="O93">
        <f t="shared" si="21"/>
        <v>0.2</v>
      </c>
      <c r="P93">
        <f t="shared" si="22"/>
        <v>0</v>
      </c>
      <c r="Q93">
        <f t="shared" si="23"/>
        <v>0.15</v>
      </c>
      <c r="R93">
        <f t="shared" si="24"/>
        <v>0.15000000000000002</v>
      </c>
      <c r="S93">
        <f t="shared" si="25"/>
        <v>0.19999999999999996</v>
      </c>
      <c r="T93">
        <f t="shared" si="26"/>
        <v>0</v>
      </c>
      <c r="U93">
        <f t="shared" si="27"/>
        <v>0.2</v>
      </c>
      <c r="V93">
        <f t="shared" si="28"/>
        <v>0.25</v>
      </c>
      <c r="W93">
        <f t="shared" si="29"/>
        <v>0.24999999999999997</v>
      </c>
      <c r="X93">
        <v>0</v>
      </c>
      <c r="Y93">
        <v>16.8</v>
      </c>
      <c r="Z93">
        <v>87.6</v>
      </c>
      <c r="AA93">
        <v>118.8</v>
      </c>
      <c r="AB93">
        <v>23.39999999999992</v>
      </c>
      <c r="AC93">
        <v>13.32000000000011</v>
      </c>
      <c r="AD93">
        <v>11.26799999999999</v>
      </c>
      <c r="AE93">
        <v>1.199999999961518E-2</v>
      </c>
      <c r="AF93">
        <v>47.999999999999517</v>
      </c>
      <c r="AG93">
        <v>120</v>
      </c>
      <c r="AH93">
        <v>167.99999999999949</v>
      </c>
      <c r="AI93">
        <v>180</v>
      </c>
      <c r="AJ93">
        <v>0</v>
      </c>
      <c r="AK93">
        <v>0.960000000000097</v>
      </c>
      <c r="AL93">
        <v>0.21600000000002589</v>
      </c>
      <c r="AM93">
        <v>2.399999999923037E-2</v>
      </c>
      <c r="AN93">
        <v>46.799999999999841</v>
      </c>
      <c r="AO93">
        <v>25.680000000000131</v>
      </c>
      <c r="AP93">
        <v>22.319999999999951</v>
      </c>
      <c r="AQ93">
        <v>0</v>
      </c>
    </row>
    <row r="94" spans="1:43" x14ac:dyDescent="0.2">
      <c r="A94">
        <v>324</v>
      </c>
      <c r="B94">
        <v>47.5</v>
      </c>
      <c r="C94">
        <v>416.66666666666669</v>
      </c>
      <c r="D94">
        <v>833.33333333333337</v>
      </c>
      <c r="E94">
        <v>416.66666666666669</v>
      </c>
      <c r="F94">
        <f t="shared" si="17"/>
        <v>1250</v>
      </c>
      <c r="G94">
        <f t="shared" si="18"/>
        <v>1250</v>
      </c>
      <c r="H94">
        <v>1666.666666666667</v>
      </c>
      <c r="I94">
        <v>0.26315789473684209</v>
      </c>
      <c r="J94">
        <v>0.52631578947368429</v>
      </c>
      <c r="K94">
        <v>0.26315789473684209</v>
      </c>
      <c r="L94">
        <f t="shared" si="19"/>
        <v>0.78947368421052633</v>
      </c>
      <c r="M94">
        <f t="shared" si="20"/>
        <v>0.78947368421052633</v>
      </c>
      <c r="N94">
        <v>1.052631578947369</v>
      </c>
      <c r="O94">
        <f t="shared" si="21"/>
        <v>0.18684210526315792</v>
      </c>
      <c r="P94">
        <f t="shared" si="22"/>
        <v>0</v>
      </c>
      <c r="Q94">
        <f t="shared" si="23"/>
        <v>0.13684210526315793</v>
      </c>
      <c r="R94">
        <f t="shared" si="24"/>
        <v>0.11052631578947369</v>
      </c>
      <c r="S94">
        <f t="shared" si="25"/>
        <v>0.16052631578947363</v>
      </c>
      <c r="T94">
        <f t="shared" si="26"/>
        <v>5.2631578947369029E-2</v>
      </c>
      <c r="U94">
        <f t="shared" si="27"/>
        <v>0.19411351164115836</v>
      </c>
      <c r="V94">
        <f t="shared" si="28"/>
        <v>0.2315938990388611</v>
      </c>
      <c r="W94">
        <f t="shared" si="29"/>
        <v>0.20187829909484925</v>
      </c>
      <c r="X94">
        <v>0</v>
      </c>
      <c r="Y94">
        <v>8.4</v>
      </c>
      <c r="Z94">
        <v>86.399999999999991</v>
      </c>
      <c r="AA94">
        <v>118.8</v>
      </c>
      <c r="AB94">
        <v>19.6107257617724</v>
      </c>
      <c r="AC94">
        <v>10.288221606648261</v>
      </c>
      <c r="AD94">
        <v>14.532631578947459</v>
      </c>
      <c r="AE94">
        <v>0.41052631578944182</v>
      </c>
      <c r="AF94">
        <v>44.842105263157208</v>
      </c>
      <c r="AG94">
        <v>126.31578947368421</v>
      </c>
      <c r="AH94">
        <v>171.1578947368414</v>
      </c>
      <c r="AI94">
        <v>180</v>
      </c>
      <c r="AJ94">
        <v>0</v>
      </c>
      <c r="AK94">
        <v>8.94315789473686</v>
      </c>
      <c r="AL94">
        <v>5.0778947368422651</v>
      </c>
      <c r="AM94">
        <v>0.82105263157888353</v>
      </c>
      <c r="AN94">
        <v>39.2214515235448</v>
      </c>
      <c r="AO94">
        <v>11.633285318559659</v>
      </c>
      <c r="AP94">
        <v>23.987368421052651</v>
      </c>
      <c r="AQ94">
        <v>0</v>
      </c>
    </row>
    <row r="95" spans="1:43" x14ac:dyDescent="0.2">
      <c r="A95">
        <v>324</v>
      </c>
      <c r="B95">
        <v>45</v>
      </c>
      <c r="C95">
        <v>416.66666666666669</v>
      </c>
      <c r="D95">
        <v>833.33333333333337</v>
      </c>
      <c r="E95">
        <v>416.66666666666669</v>
      </c>
      <c r="F95">
        <f t="shared" si="17"/>
        <v>1250</v>
      </c>
      <c r="G95">
        <f t="shared" si="18"/>
        <v>1250</v>
      </c>
      <c r="H95">
        <v>1666.666666666667</v>
      </c>
      <c r="I95">
        <v>0.27777777777777779</v>
      </c>
      <c r="J95">
        <v>0.55555555555555558</v>
      </c>
      <c r="K95">
        <v>0.27777777777777779</v>
      </c>
      <c r="L95">
        <f t="shared" si="19"/>
        <v>0.83333333333333337</v>
      </c>
      <c r="M95">
        <f t="shared" si="20"/>
        <v>0.83333333333333337</v>
      </c>
      <c r="N95">
        <v>1.1111111111111109</v>
      </c>
      <c r="O95">
        <f t="shared" si="21"/>
        <v>0.17222222222222222</v>
      </c>
      <c r="P95">
        <f t="shared" si="22"/>
        <v>0</v>
      </c>
      <c r="Q95">
        <f t="shared" si="23"/>
        <v>0.12222222222222223</v>
      </c>
      <c r="R95">
        <f t="shared" si="24"/>
        <v>6.6666666666666652E-2</v>
      </c>
      <c r="S95">
        <f t="shared" si="25"/>
        <v>0.11666666666666659</v>
      </c>
      <c r="T95">
        <f t="shared" si="26"/>
        <v>0.11111111111111094</v>
      </c>
      <c r="U95">
        <f t="shared" si="27"/>
        <v>0.20495407495218565</v>
      </c>
      <c r="V95">
        <f t="shared" si="28"/>
        <v>0.21118419787498013</v>
      </c>
      <c r="W95">
        <f t="shared" si="29"/>
        <v>0.17435949807194667</v>
      </c>
      <c r="X95">
        <v>0</v>
      </c>
      <c r="Y95">
        <v>9.6</v>
      </c>
      <c r="Z95">
        <v>91.2</v>
      </c>
      <c r="AA95">
        <v>4.8</v>
      </c>
      <c r="AB95">
        <v>17.459555555555639</v>
      </c>
      <c r="AC95">
        <v>8.2204444444443254</v>
      </c>
      <c r="AD95">
        <v>15.520000000000071</v>
      </c>
      <c r="AE95">
        <v>0.13333333333329289</v>
      </c>
      <c r="AF95">
        <v>41.333333333333158</v>
      </c>
      <c r="AG95">
        <v>133.33333333333329</v>
      </c>
      <c r="AH95">
        <v>174.66666666666649</v>
      </c>
      <c r="AI95">
        <v>180</v>
      </c>
      <c r="AJ95">
        <v>0</v>
      </c>
      <c r="AK95">
        <v>9.386666666666537</v>
      </c>
      <c r="AL95">
        <v>5.280000000000129</v>
      </c>
      <c r="AM95">
        <v>0.26666666666658578</v>
      </c>
      <c r="AN95">
        <v>34.919111111111278</v>
      </c>
      <c r="AO95">
        <v>7.054222222222112</v>
      </c>
      <c r="AP95">
        <v>25.760000000000019</v>
      </c>
      <c r="AQ95">
        <v>0</v>
      </c>
    </row>
    <row r="96" spans="1:43" x14ac:dyDescent="0.2">
      <c r="A96">
        <v>324</v>
      </c>
      <c r="B96">
        <v>42.5</v>
      </c>
      <c r="C96">
        <v>416.66666666666669</v>
      </c>
      <c r="D96">
        <v>833.33333333333337</v>
      </c>
      <c r="E96">
        <v>416.66666666666669</v>
      </c>
      <c r="F96">
        <f t="shared" si="17"/>
        <v>1250</v>
      </c>
      <c r="G96">
        <f t="shared" si="18"/>
        <v>1250</v>
      </c>
      <c r="H96">
        <v>1666.666666666667</v>
      </c>
      <c r="I96">
        <v>0.29411764705882348</v>
      </c>
      <c r="J96">
        <v>0.58823529411764708</v>
      </c>
      <c r="K96">
        <v>0.29411764705882348</v>
      </c>
      <c r="L96">
        <f t="shared" si="19"/>
        <v>0.88235294117647056</v>
      </c>
      <c r="M96">
        <f t="shared" si="20"/>
        <v>0.88235294117647056</v>
      </c>
      <c r="N96">
        <v>1.1764705882352939</v>
      </c>
      <c r="O96">
        <f t="shared" si="21"/>
        <v>0.15588235294117653</v>
      </c>
      <c r="P96">
        <f t="shared" si="22"/>
        <v>0</v>
      </c>
      <c r="Q96">
        <f t="shared" si="23"/>
        <v>0.10588235294117654</v>
      </c>
      <c r="R96">
        <f t="shared" si="24"/>
        <v>1.764705882352946E-2</v>
      </c>
      <c r="S96">
        <f t="shared" si="25"/>
        <v>6.7647058823529393E-2</v>
      </c>
      <c r="T96">
        <f t="shared" si="26"/>
        <v>0.17647058823529393</v>
      </c>
      <c r="U96">
        <f t="shared" si="27"/>
        <v>0.23545950070147559</v>
      </c>
      <c r="V96">
        <f t="shared" si="28"/>
        <v>0.18844198211342769</v>
      </c>
      <c r="W96">
        <f t="shared" si="29"/>
        <v>0.18981415059132398</v>
      </c>
      <c r="X96">
        <v>0</v>
      </c>
      <c r="Y96">
        <v>73.2</v>
      </c>
      <c r="Z96">
        <v>25.2</v>
      </c>
      <c r="AA96">
        <v>62.4</v>
      </c>
      <c r="AB96">
        <v>1.2743667820067559</v>
      </c>
      <c r="AC96">
        <v>21.342103806228419</v>
      </c>
      <c r="AD96">
        <v>15.25411764705883</v>
      </c>
      <c r="AE96">
        <v>0.95294117647063104</v>
      </c>
      <c r="AF96">
        <v>38.823529411764447</v>
      </c>
      <c r="AG96">
        <v>141.1764705882353</v>
      </c>
      <c r="AH96">
        <v>179.9999999999998</v>
      </c>
      <c r="AI96">
        <v>180</v>
      </c>
      <c r="AJ96">
        <v>0</v>
      </c>
      <c r="AK96">
        <v>37.905882352941177</v>
      </c>
      <c r="AL96">
        <v>1.4117647058823619</v>
      </c>
      <c r="AM96">
        <v>1.9058823529412621</v>
      </c>
      <c r="AN96">
        <v>2.5487335640135118</v>
      </c>
      <c r="AO96">
        <v>4.7783252595156629</v>
      </c>
      <c r="AP96">
        <v>29.096470588235309</v>
      </c>
      <c r="AQ96">
        <v>0</v>
      </c>
    </row>
    <row r="97" spans="1:43" x14ac:dyDescent="0.2">
      <c r="A97">
        <v>324</v>
      </c>
      <c r="B97">
        <v>40</v>
      </c>
      <c r="C97">
        <v>416.66666666666669</v>
      </c>
      <c r="D97">
        <v>833.33333333333337</v>
      </c>
      <c r="E97">
        <v>416.66666666666669</v>
      </c>
      <c r="F97">
        <f t="shared" si="17"/>
        <v>1250</v>
      </c>
      <c r="G97">
        <f t="shared" si="18"/>
        <v>1250</v>
      </c>
      <c r="H97">
        <v>1666.666666666667</v>
      </c>
      <c r="I97">
        <v>0.31250000000000011</v>
      </c>
      <c r="J97">
        <v>0.62500000000000011</v>
      </c>
      <c r="K97">
        <v>0.31250000000000011</v>
      </c>
      <c r="L97">
        <f t="shared" si="19"/>
        <v>0.9375</v>
      </c>
      <c r="M97">
        <f t="shared" si="20"/>
        <v>0.9375</v>
      </c>
      <c r="N97">
        <v>1.25</v>
      </c>
      <c r="O97">
        <f t="shared" si="21"/>
        <v>0.1374999999999999</v>
      </c>
      <c r="P97">
        <f t="shared" si="22"/>
        <v>0</v>
      </c>
      <c r="Q97">
        <f t="shared" si="23"/>
        <v>8.7499999999999911E-2</v>
      </c>
      <c r="R97">
        <f t="shared" si="24"/>
        <v>0</v>
      </c>
      <c r="S97">
        <f t="shared" si="25"/>
        <v>1.2499999999999956E-2</v>
      </c>
      <c r="T97">
        <f t="shared" si="26"/>
        <v>0.25</v>
      </c>
      <c r="U97">
        <f t="shared" si="27"/>
        <v>0.28531780526283312</v>
      </c>
      <c r="V97">
        <f t="shared" si="28"/>
        <v>0.16298006013006608</v>
      </c>
      <c r="W97">
        <f t="shared" si="29"/>
        <v>0.25031230493125983</v>
      </c>
      <c r="X97">
        <v>0</v>
      </c>
      <c r="Y97">
        <v>32.4</v>
      </c>
      <c r="Z97">
        <v>88.8</v>
      </c>
      <c r="AA97">
        <v>30</v>
      </c>
      <c r="AB97">
        <v>19.350000000000001</v>
      </c>
      <c r="AC97">
        <v>0</v>
      </c>
      <c r="AD97">
        <v>10.65</v>
      </c>
      <c r="AE97">
        <v>0</v>
      </c>
      <c r="AF97">
        <v>30</v>
      </c>
      <c r="AG97">
        <v>150</v>
      </c>
      <c r="AH97">
        <v>180</v>
      </c>
      <c r="AI97">
        <v>180</v>
      </c>
      <c r="AJ97">
        <v>0</v>
      </c>
      <c r="AK97">
        <v>0</v>
      </c>
      <c r="AL97">
        <v>0</v>
      </c>
      <c r="AM97">
        <v>0</v>
      </c>
      <c r="AN97">
        <v>38.700000000000003</v>
      </c>
      <c r="AO97">
        <v>0</v>
      </c>
      <c r="AP97">
        <v>21.3</v>
      </c>
      <c r="AQ97">
        <v>0</v>
      </c>
    </row>
    <row r="98" spans="1:43" x14ac:dyDescent="0.2">
      <c r="A98">
        <v>324</v>
      </c>
      <c r="B98">
        <v>37.5</v>
      </c>
      <c r="C98">
        <v>416.66666666666669</v>
      </c>
      <c r="D98">
        <v>833.33333333333337</v>
      </c>
      <c r="E98">
        <v>416.66666666666669</v>
      </c>
      <c r="F98">
        <f t="shared" ref="F98:F129" si="30">C98+D98</f>
        <v>1250</v>
      </c>
      <c r="G98">
        <f t="shared" ref="G98:G129" si="31">D98+E98</f>
        <v>1250</v>
      </c>
      <c r="H98">
        <v>1666.666666666667</v>
      </c>
      <c r="I98">
        <v>0.33333333333333343</v>
      </c>
      <c r="J98">
        <v>0.66666666666666674</v>
      </c>
      <c r="K98">
        <v>0.33333333333333343</v>
      </c>
      <c r="L98">
        <f t="shared" ref="L98:L129" si="32">F98/(120*$B98*1000/3600)</f>
        <v>1</v>
      </c>
      <c r="M98">
        <f t="shared" ref="M98:M129" si="33">G98/(120*$B98*1000/3600)</f>
        <v>1</v>
      </c>
      <c r="N98">
        <v>1.333333333333333</v>
      </c>
      <c r="O98">
        <f t="shared" si="21"/>
        <v>0.11666666666666659</v>
      </c>
      <c r="P98">
        <f t="shared" si="22"/>
        <v>1.6666666666666718E-2</v>
      </c>
      <c r="Q98">
        <f t="shared" si="23"/>
        <v>6.6666666666666596E-2</v>
      </c>
      <c r="R98">
        <f t="shared" si="24"/>
        <v>0</v>
      </c>
      <c r="S98">
        <f t="shared" si="25"/>
        <v>0</v>
      </c>
      <c r="T98">
        <f t="shared" si="26"/>
        <v>0.16666666666666696</v>
      </c>
      <c r="U98">
        <f t="shared" si="27"/>
        <v>0.20344259359556191</v>
      </c>
      <c r="V98">
        <f t="shared" si="28"/>
        <v>0.1354006400772659</v>
      </c>
      <c r="W98">
        <f t="shared" si="29"/>
        <v>0.16666666666666696</v>
      </c>
      <c r="X98">
        <v>0</v>
      </c>
      <c r="Y98">
        <v>52.8</v>
      </c>
      <c r="Z98">
        <v>105.6</v>
      </c>
      <c r="AA98">
        <v>52.8</v>
      </c>
      <c r="AB98">
        <v>7.6800000000000077</v>
      </c>
      <c r="AC98">
        <v>6.7200000000001134</v>
      </c>
      <c r="AD98">
        <v>7.3599999999998547</v>
      </c>
      <c r="AE98">
        <v>2.2399999999995388</v>
      </c>
      <c r="AF98">
        <v>23.999999999999531</v>
      </c>
      <c r="AG98">
        <v>160</v>
      </c>
      <c r="AH98">
        <v>183.99999999999949</v>
      </c>
      <c r="AI98">
        <v>180</v>
      </c>
      <c r="AJ98">
        <v>0</v>
      </c>
      <c r="AK98">
        <v>12.8</v>
      </c>
      <c r="AL98">
        <v>1.9199999999998709</v>
      </c>
      <c r="AM98">
        <v>4.4799999999990776</v>
      </c>
      <c r="AN98">
        <v>15.360000000000021</v>
      </c>
      <c r="AO98">
        <v>0.64000000000022639</v>
      </c>
      <c r="AP98">
        <v>12.799999999999841</v>
      </c>
      <c r="AQ98">
        <v>0</v>
      </c>
    </row>
    <row r="99" spans="1:43" x14ac:dyDescent="0.2">
      <c r="A99">
        <v>324</v>
      </c>
      <c r="B99">
        <v>35</v>
      </c>
      <c r="C99">
        <v>416.66666666666669</v>
      </c>
      <c r="D99">
        <v>833.33333333333337</v>
      </c>
      <c r="E99">
        <v>416.66666666666669</v>
      </c>
      <c r="F99">
        <f t="shared" si="30"/>
        <v>1250</v>
      </c>
      <c r="G99">
        <f t="shared" si="31"/>
        <v>1250</v>
      </c>
      <c r="H99">
        <v>1666.666666666667</v>
      </c>
      <c r="I99">
        <v>0.35714285714285721</v>
      </c>
      <c r="J99">
        <v>0.7142857142857143</v>
      </c>
      <c r="K99">
        <v>0.35714285714285721</v>
      </c>
      <c r="L99">
        <f t="shared" si="32"/>
        <v>1.0714285714285714</v>
      </c>
      <c r="M99">
        <f t="shared" si="33"/>
        <v>1.0714285714285714</v>
      </c>
      <c r="N99">
        <v>1.428571428571429</v>
      </c>
      <c r="O99">
        <f t="shared" si="21"/>
        <v>9.2857142857142805E-2</v>
      </c>
      <c r="P99">
        <f t="shared" si="22"/>
        <v>6.4285714285714279E-2</v>
      </c>
      <c r="Q99">
        <f t="shared" si="23"/>
        <v>4.2857142857142816E-2</v>
      </c>
      <c r="R99">
        <f t="shared" si="24"/>
        <v>0</v>
      </c>
      <c r="S99">
        <f t="shared" si="25"/>
        <v>2.1428571428571394E-2</v>
      </c>
      <c r="T99">
        <f t="shared" si="26"/>
        <v>7.1428571428570953E-2</v>
      </c>
      <c r="U99">
        <f t="shared" si="27"/>
        <v>0.11715156762040485</v>
      </c>
      <c r="V99">
        <f t="shared" si="28"/>
        <v>0.12079667518062683</v>
      </c>
      <c r="W99">
        <f t="shared" si="29"/>
        <v>7.4573617920789176E-2</v>
      </c>
      <c r="X99">
        <v>0</v>
      </c>
      <c r="Y99">
        <v>61.2</v>
      </c>
      <c r="Z99">
        <v>2.4</v>
      </c>
      <c r="AA99">
        <v>79.2</v>
      </c>
      <c r="AB99">
        <v>3.4628571428571169</v>
      </c>
      <c r="AC99">
        <v>15.137142857142839</v>
      </c>
      <c r="AD99">
        <v>0.32571428571423489</v>
      </c>
      <c r="AE99">
        <v>5.0742857142856854</v>
      </c>
      <c r="AF99">
        <v>23.99999999999962</v>
      </c>
      <c r="AG99">
        <v>171.42857142857139</v>
      </c>
      <c r="AH99">
        <v>195.42857142857099</v>
      </c>
      <c r="AI99">
        <v>180</v>
      </c>
      <c r="AJ99">
        <v>0</v>
      </c>
      <c r="AK99">
        <v>18.34285714285717</v>
      </c>
      <c r="AL99">
        <v>0.3085714285713847</v>
      </c>
      <c r="AM99">
        <v>10.148571428571371</v>
      </c>
      <c r="AN99">
        <v>6.9257142857142346</v>
      </c>
      <c r="AO99">
        <v>11.931428571428521</v>
      </c>
      <c r="AP99">
        <v>0.34285714285708507</v>
      </c>
      <c r="AQ99">
        <v>0</v>
      </c>
    </row>
    <row r="100" spans="1:43" x14ac:dyDescent="0.2">
      <c r="A100">
        <v>324</v>
      </c>
      <c r="B100">
        <v>32.5</v>
      </c>
      <c r="C100">
        <v>416.66666666666669</v>
      </c>
      <c r="D100">
        <v>833.33333333333337</v>
      </c>
      <c r="E100">
        <v>416.66666666666669</v>
      </c>
      <c r="F100">
        <f t="shared" si="30"/>
        <v>1250</v>
      </c>
      <c r="G100">
        <f t="shared" si="31"/>
        <v>1250</v>
      </c>
      <c r="H100">
        <v>1666.666666666667</v>
      </c>
      <c r="I100">
        <v>0.38461538461538458</v>
      </c>
      <c r="J100">
        <v>0.76923076923076927</v>
      </c>
      <c r="K100">
        <v>0.38461538461538458</v>
      </c>
      <c r="L100">
        <f t="shared" si="32"/>
        <v>1.153846153846154</v>
      </c>
      <c r="M100">
        <f t="shared" si="33"/>
        <v>1.153846153846154</v>
      </c>
      <c r="N100">
        <v>1.538461538461539</v>
      </c>
      <c r="O100">
        <f t="shared" si="21"/>
        <v>6.538461538461543E-2</v>
      </c>
      <c r="P100">
        <f t="shared" si="22"/>
        <v>8.0769230769230704E-2</v>
      </c>
      <c r="Q100">
        <f t="shared" si="23"/>
        <v>1.5384615384615441E-2</v>
      </c>
      <c r="R100">
        <f t="shared" si="24"/>
        <v>5.384615384615396E-2</v>
      </c>
      <c r="S100">
        <f t="shared" si="25"/>
        <v>0.10384615384615396</v>
      </c>
      <c r="T100">
        <f t="shared" si="26"/>
        <v>3.8461538461538991E-2</v>
      </c>
      <c r="U100">
        <f t="shared" si="27"/>
        <v>7.5858011243523468E-2</v>
      </c>
      <c r="V100">
        <f t="shared" si="28"/>
        <v>0.10505000218267432</v>
      </c>
      <c r="W100">
        <f t="shared" si="29"/>
        <v>0.12313700456601663</v>
      </c>
      <c r="X100">
        <v>0</v>
      </c>
      <c r="Y100">
        <v>55.2</v>
      </c>
      <c r="Z100">
        <v>2.4</v>
      </c>
      <c r="AA100">
        <v>73.2</v>
      </c>
      <c r="AB100">
        <v>6.0738461538462918</v>
      </c>
      <c r="AC100">
        <v>15.52615384615355</v>
      </c>
      <c r="AD100">
        <v>1.8553846153846181</v>
      </c>
      <c r="AE100">
        <v>0.54461538461538217</v>
      </c>
      <c r="AF100">
        <v>23.999999999999631</v>
      </c>
      <c r="AG100">
        <v>184.61538461538461</v>
      </c>
      <c r="AH100">
        <v>208.6153846153843</v>
      </c>
      <c r="AI100">
        <v>180</v>
      </c>
      <c r="AJ100">
        <v>0</v>
      </c>
      <c r="AK100">
        <v>9.0461538461538211</v>
      </c>
      <c r="AL100">
        <v>0.66461538461541447</v>
      </c>
      <c r="AM100">
        <v>1.0892307692307639</v>
      </c>
      <c r="AN100">
        <v>12.14769230769258</v>
      </c>
      <c r="AO100">
        <v>22.006153846153271</v>
      </c>
      <c r="AP100">
        <v>3.0461538461538211</v>
      </c>
      <c r="AQ100">
        <v>0</v>
      </c>
    </row>
    <row r="101" spans="1:43" x14ac:dyDescent="0.2">
      <c r="A101">
        <v>324</v>
      </c>
      <c r="B101">
        <v>30</v>
      </c>
      <c r="C101">
        <v>416.66666666666669</v>
      </c>
      <c r="D101">
        <v>833.33333333333337</v>
      </c>
      <c r="E101">
        <v>416.66666666666669</v>
      </c>
      <c r="F101">
        <f t="shared" si="30"/>
        <v>1250</v>
      </c>
      <c r="G101">
        <f t="shared" si="31"/>
        <v>1250</v>
      </c>
      <c r="H101">
        <v>1666.666666666667</v>
      </c>
      <c r="I101">
        <v>0.41666666666666669</v>
      </c>
      <c r="J101">
        <v>0.83333333333333337</v>
      </c>
      <c r="K101">
        <v>0.41666666666666669</v>
      </c>
      <c r="L101">
        <f t="shared" si="32"/>
        <v>1.25</v>
      </c>
      <c r="M101">
        <f t="shared" si="33"/>
        <v>1.25</v>
      </c>
      <c r="N101">
        <v>1.666666666666667</v>
      </c>
      <c r="O101">
        <f t="shared" si="21"/>
        <v>3.3333333333333326E-2</v>
      </c>
      <c r="P101">
        <f t="shared" si="22"/>
        <v>1.6666666666666607E-2</v>
      </c>
      <c r="Q101">
        <f t="shared" si="23"/>
        <v>0</v>
      </c>
      <c r="R101">
        <f t="shared" si="24"/>
        <v>0.15</v>
      </c>
      <c r="S101">
        <f t="shared" si="25"/>
        <v>0.2</v>
      </c>
      <c r="T101">
        <f t="shared" si="26"/>
        <v>0.16666666666666696</v>
      </c>
      <c r="U101">
        <f t="shared" si="27"/>
        <v>0.16996731711975979</v>
      </c>
      <c r="V101">
        <f t="shared" si="28"/>
        <v>3.7267799624996462E-2</v>
      </c>
      <c r="W101">
        <f t="shared" si="29"/>
        <v>0.30046260628866595</v>
      </c>
      <c r="X101">
        <v>0</v>
      </c>
      <c r="Y101">
        <v>55.2</v>
      </c>
      <c r="Z101">
        <v>9.6</v>
      </c>
      <c r="AA101">
        <v>82.8</v>
      </c>
      <c r="AB101">
        <v>5.9599999999998143</v>
      </c>
      <c r="AC101">
        <v>20.839999999999819</v>
      </c>
      <c r="AD101">
        <v>0.47999999999996767</v>
      </c>
      <c r="AE101">
        <v>0.71999999999995146</v>
      </c>
      <c r="AF101">
        <v>27.99999999999967</v>
      </c>
      <c r="AG101">
        <v>200</v>
      </c>
      <c r="AH101">
        <v>227.99999999999969</v>
      </c>
      <c r="AI101">
        <v>180</v>
      </c>
      <c r="AJ101">
        <v>0</v>
      </c>
      <c r="AK101">
        <v>5.2</v>
      </c>
      <c r="AL101">
        <v>0.95999999999993535</v>
      </c>
      <c r="AM101">
        <v>1.4399999999999029</v>
      </c>
      <c r="AN101">
        <v>11.91999999999963</v>
      </c>
      <c r="AO101">
        <v>36.479999999999642</v>
      </c>
      <c r="AP101">
        <v>0</v>
      </c>
      <c r="AQ101">
        <v>0</v>
      </c>
    </row>
    <row r="102" spans="1:43" x14ac:dyDescent="0.2">
      <c r="A102">
        <v>324</v>
      </c>
      <c r="B102">
        <v>27.5</v>
      </c>
      <c r="C102">
        <v>416.66666666666669</v>
      </c>
      <c r="D102">
        <v>833.33333333333337</v>
      </c>
      <c r="E102">
        <v>416.66666666666669</v>
      </c>
      <c r="F102">
        <f t="shared" si="30"/>
        <v>1250</v>
      </c>
      <c r="G102">
        <f t="shared" si="31"/>
        <v>1250</v>
      </c>
      <c r="H102">
        <v>1666.666666666667</v>
      </c>
      <c r="I102">
        <v>0.45454545454545459</v>
      </c>
      <c r="J102">
        <v>0.90909090909090917</v>
      </c>
      <c r="K102">
        <v>0.45454545454545459</v>
      </c>
      <c r="L102">
        <f t="shared" si="32"/>
        <v>1.3636363636363638</v>
      </c>
      <c r="M102">
        <f t="shared" si="33"/>
        <v>1.3636363636363638</v>
      </c>
      <c r="N102">
        <v>1.8181818181818179</v>
      </c>
      <c r="O102">
        <f t="shared" si="21"/>
        <v>0</v>
      </c>
      <c r="P102">
        <f t="shared" si="22"/>
        <v>0</v>
      </c>
      <c r="Q102">
        <f t="shared" si="23"/>
        <v>0</v>
      </c>
      <c r="R102">
        <f t="shared" si="24"/>
        <v>3.6363636363636265E-2</v>
      </c>
      <c r="S102">
        <f t="shared" si="25"/>
        <v>8.6363636363636254E-2</v>
      </c>
      <c r="T102">
        <f t="shared" si="26"/>
        <v>0.1818181818181821</v>
      </c>
      <c r="U102">
        <f t="shared" si="27"/>
        <v>0.1818181818181821</v>
      </c>
      <c r="V102">
        <f t="shared" si="28"/>
        <v>0</v>
      </c>
      <c r="W102">
        <f t="shared" si="29"/>
        <v>0.20454545454545475</v>
      </c>
      <c r="X102">
        <v>0</v>
      </c>
      <c r="Y102">
        <v>43.2</v>
      </c>
      <c r="Z102">
        <v>34.799999999999997</v>
      </c>
      <c r="AA102">
        <v>3.6</v>
      </c>
      <c r="AB102">
        <v>9.1090909090909307</v>
      </c>
      <c r="AC102">
        <v>0</v>
      </c>
      <c r="AD102">
        <v>0</v>
      </c>
      <c r="AE102">
        <v>12.70909090909093</v>
      </c>
      <c r="AF102">
        <v>21.81818181818171</v>
      </c>
      <c r="AG102">
        <v>218.18181818181819</v>
      </c>
      <c r="AH102">
        <v>239.99999999999989</v>
      </c>
      <c r="AI102">
        <v>180</v>
      </c>
      <c r="AJ102">
        <v>0</v>
      </c>
      <c r="AK102">
        <v>0</v>
      </c>
      <c r="AL102">
        <v>0</v>
      </c>
      <c r="AM102">
        <v>25.418181818181861</v>
      </c>
      <c r="AN102">
        <v>18.218181818181861</v>
      </c>
      <c r="AO102">
        <v>0</v>
      </c>
      <c r="AP102">
        <v>0</v>
      </c>
      <c r="AQ102">
        <v>0</v>
      </c>
    </row>
    <row r="103" spans="1:43" x14ac:dyDescent="0.2">
      <c r="A103">
        <v>324</v>
      </c>
      <c r="B103">
        <v>25</v>
      </c>
      <c r="C103">
        <v>416.66666666666669</v>
      </c>
      <c r="D103">
        <v>833.33333333333337</v>
      </c>
      <c r="E103">
        <v>416.66666666666669</v>
      </c>
      <c r="F103">
        <f t="shared" si="30"/>
        <v>1250</v>
      </c>
      <c r="G103">
        <f t="shared" si="31"/>
        <v>1250</v>
      </c>
      <c r="H103">
        <v>1666.666666666667</v>
      </c>
      <c r="I103">
        <v>0.5</v>
      </c>
      <c r="J103">
        <v>1</v>
      </c>
      <c r="K103">
        <v>0.5</v>
      </c>
      <c r="L103">
        <f t="shared" si="32"/>
        <v>1.5</v>
      </c>
      <c r="M103">
        <f t="shared" si="33"/>
        <v>1.5</v>
      </c>
      <c r="N103">
        <v>2</v>
      </c>
      <c r="O103">
        <f t="shared" si="21"/>
        <v>0</v>
      </c>
      <c r="P103">
        <f t="shared" si="22"/>
        <v>0</v>
      </c>
      <c r="Q103">
        <f t="shared" si="23"/>
        <v>0</v>
      </c>
      <c r="R103">
        <f t="shared" si="24"/>
        <v>0</v>
      </c>
      <c r="S103">
        <f t="shared" si="25"/>
        <v>0</v>
      </c>
      <c r="T103">
        <f t="shared" si="26"/>
        <v>0</v>
      </c>
      <c r="U103">
        <f t="shared" si="27"/>
        <v>0</v>
      </c>
      <c r="V103">
        <f t="shared" si="28"/>
        <v>0</v>
      </c>
      <c r="W103">
        <f t="shared" si="29"/>
        <v>0</v>
      </c>
      <c r="X103">
        <v>0</v>
      </c>
      <c r="Y103">
        <v>48</v>
      </c>
      <c r="Z103">
        <v>36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240</v>
      </c>
      <c r="AH103">
        <v>240</v>
      </c>
      <c r="AI103">
        <v>180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">
      <c r="A104">
        <v>324</v>
      </c>
      <c r="B104">
        <v>22.5</v>
      </c>
      <c r="C104">
        <v>416.66666666666669</v>
      </c>
      <c r="D104">
        <v>833.33333333333337</v>
      </c>
      <c r="E104">
        <v>416.66666666666669</v>
      </c>
      <c r="F104">
        <f t="shared" si="30"/>
        <v>1250</v>
      </c>
      <c r="G104">
        <f t="shared" si="31"/>
        <v>1250</v>
      </c>
      <c r="H104">
        <v>1666.666666666667</v>
      </c>
      <c r="I104">
        <v>0.55555555555555558</v>
      </c>
      <c r="J104">
        <v>1.1111111111111109</v>
      </c>
      <c r="K104">
        <v>0.55555555555555558</v>
      </c>
      <c r="L104">
        <f t="shared" si="32"/>
        <v>1.6666666666666667</v>
      </c>
      <c r="M104">
        <f t="shared" si="33"/>
        <v>1.6666666666666667</v>
      </c>
      <c r="N104">
        <v>2.2222222222222219</v>
      </c>
      <c r="O104">
        <f t="shared" si="21"/>
        <v>5.5555555555555358E-3</v>
      </c>
      <c r="P104">
        <f t="shared" si="22"/>
        <v>0</v>
      </c>
      <c r="Q104">
        <f t="shared" si="23"/>
        <v>0</v>
      </c>
      <c r="R104">
        <f t="shared" si="24"/>
        <v>6.6666666666666763E-2</v>
      </c>
      <c r="S104">
        <f t="shared" si="25"/>
        <v>0.1166666666666667</v>
      </c>
      <c r="T104">
        <f t="shared" si="26"/>
        <v>0.22222222222222188</v>
      </c>
      <c r="U104">
        <f t="shared" si="27"/>
        <v>0.22229165581936139</v>
      </c>
      <c r="V104">
        <f t="shared" si="28"/>
        <v>5.5555555555555358E-3</v>
      </c>
      <c r="W104">
        <f t="shared" si="29"/>
        <v>0.25968879761156072</v>
      </c>
      <c r="X104">
        <v>0</v>
      </c>
      <c r="Y104">
        <v>42</v>
      </c>
      <c r="Z104">
        <v>32.4</v>
      </c>
      <c r="AA104">
        <v>2.4</v>
      </c>
      <c r="AB104">
        <v>3.1733333333332769</v>
      </c>
      <c r="AC104">
        <v>12.62666666666664</v>
      </c>
      <c r="AD104">
        <v>7.0799999999999272</v>
      </c>
      <c r="AE104">
        <v>3.7866666666665778</v>
      </c>
      <c r="AF104">
        <v>26.66666666666632</v>
      </c>
      <c r="AG104">
        <v>266.66666666666669</v>
      </c>
      <c r="AH104">
        <v>293.33333333333297</v>
      </c>
      <c r="AI104">
        <v>180</v>
      </c>
      <c r="AJ104">
        <v>0</v>
      </c>
      <c r="AK104">
        <v>10.133333333333249</v>
      </c>
      <c r="AL104">
        <v>6.5600000000000973</v>
      </c>
      <c r="AM104">
        <v>7.5733333333331556</v>
      </c>
      <c r="AN104">
        <v>6.3466666666665539</v>
      </c>
      <c r="AO104">
        <v>15.120000000000029</v>
      </c>
      <c r="AP104">
        <v>7.5999999999997572</v>
      </c>
      <c r="AQ104">
        <v>0</v>
      </c>
    </row>
    <row r="105" spans="1:43" x14ac:dyDescent="0.2">
      <c r="A105">
        <v>324</v>
      </c>
      <c r="B105">
        <v>20</v>
      </c>
      <c r="C105">
        <v>416.66666666666669</v>
      </c>
      <c r="D105">
        <v>833.33333333333337</v>
      </c>
      <c r="E105">
        <v>416.66666666666669</v>
      </c>
      <c r="F105">
        <f t="shared" si="30"/>
        <v>1250</v>
      </c>
      <c r="G105">
        <f t="shared" si="31"/>
        <v>1250</v>
      </c>
      <c r="H105">
        <v>1666.666666666667</v>
      </c>
      <c r="I105">
        <v>0.62500000000000011</v>
      </c>
      <c r="J105">
        <v>1.25</v>
      </c>
      <c r="K105">
        <v>0.62500000000000011</v>
      </c>
      <c r="L105">
        <f t="shared" si="32"/>
        <v>1.875</v>
      </c>
      <c r="M105">
        <f t="shared" si="33"/>
        <v>1.875</v>
      </c>
      <c r="N105">
        <v>2.5</v>
      </c>
      <c r="O105">
        <f t="shared" si="21"/>
        <v>7.5000000000000067E-2</v>
      </c>
      <c r="P105">
        <f t="shared" si="22"/>
        <v>9.9999999999999978E-2</v>
      </c>
      <c r="Q105">
        <f t="shared" si="23"/>
        <v>2.5000000000000133E-2</v>
      </c>
      <c r="R105">
        <f t="shared" si="24"/>
        <v>2.5000000000000022E-2</v>
      </c>
      <c r="S105">
        <f t="shared" si="25"/>
        <v>7.4999999999999956E-2</v>
      </c>
      <c r="T105">
        <f t="shared" si="26"/>
        <v>0</v>
      </c>
      <c r="U105">
        <f t="shared" si="27"/>
        <v>7.5000000000000067E-2</v>
      </c>
      <c r="V105">
        <f t="shared" si="28"/>
        <v>0.12747548783981968</v>
      </c>
      <c r="W105">
        <f t="shared" si="29"/>
        <v>7.9056941504209458E-2</v>
      </c>
      <c r="X105">
        <v>0</v>
      </c>
      <c r="Y105">
        <v>62.4</v>
      </c>
      <c r="Z105">
        <v>103.2</v>
      </c>
      <c r="AA105">
        <v>58.8</v>
      </c>
      <c r="AB105">
        <v>8.5799999999999681</v>
      </c>
      <c r="AC105">
        <v>13.079999999999851</v>
      </c>
      <c r="AD105">
        <v>2.034000000000014</v>
      </c>
      <c r="AE105">
        <v>0.30599999999948418</v>
      </c>
      <c r="AF105">
        <v>23.999999999999179</v>
      </c>
      <c r="AG105">
        <v>300</v>
      </c>
      <c r="AH105">
        <v>323.9999999999992</v>
      </c>
      <c r="AI105">
        <v>180</v>
      </c>
      <c r="AJ105">
        <v>0</v>
      </c>
      <c r="AK105">
        <v>0.47999999999988679</v>
      </c>
      <c r="AL105">
        <v>0.1080000000000938</v>
      </c>
      <c r="AM105">
        <v>0.61199999999896848</v>
      </c>
      <c r="AN105">
        <v>17.15999999999994</v>
      </c>
      <c r="AO105">
        <v>25.679999999999801</v>
      </c>
      <c r="AP105">
        <v>3.9599999999999351</v>
      </c>
      <c r="AQ105">
        <v>0</v>
      </c>
    </row>
    <row r="106" spans="1:43" x14ac:dyDescent="0.2">
      <c r="A106">
        <v>331</v>
      </c>
      <c r="B106">
        <v>50</v>
      </c>
      <c r="C106">
        <v>416.66666666666669</v>
      </c>
      <c r="D106">
        <v>416.66666666666669</v>
      </c>
      <c r="E106">
        <v>416.66666666666669</v>
      </c>
      <c r="F106">
        <f t="shared" si="30"/>
        <v>833.33333333333337</v>
      </c>
      <c r="G106">
        <f t="shared" si="31"/>
        <v>833.33333333333337</v>
      </c>
      <c r="H106">
        <v>1250</v>
      </c>
      <c r="I106">
        <v>0.25</v>
      </c>
      <c r="J106">
        <v>0.25</v>
      </c>
      <c r="K106">
        <v>0.25</v>
      </c>
      <c r="L106">
        <f t="shared" si="32"/>
        <v>0.5</v>
      </c>
      <c r="M106">
        <f t="shared" si="33"/>
        <v>0.5</v>
      </c>
      <c r="N106">
        <v>0.75</v>
      </c>
      <c r="O106">
        <f t="shared" si="21"/>
        <v>0.2</v>
      </c>
      <c r="P106">
        <f t="shared" si="22"/>
        <v>9.9999999999999978E-2</v>
      </c>
      <c r="Q106">
        <f t="shared" si="23"/>
        <v>0.15</v>
      </c>
      <c r="R106">
        <f t="shared" si="24"/>
        <v>0</v>
      </c>
      <c r="S106">
        <f t="shared" si="25"/>
        <v>0</v>
      </c>
      <c r="T106">
        <f t="shared" si="26"/>
        <v>0.25</v>
      </c>
      <c r="U106">
        <f t="shared" si="27"/>
        <v>0.32015621187164245</v>
      </c>
      <c r="V106">
        <f t="shared" si="28"/>
        <v>0.26925824035672524</v>
      </c>
      <c r="W106">
        <f t="shared" si="29"/>
        <v>0.25</v>
      </c>
      <c r="X106">
        <v>0</v>
      </c>
      <c r="Y106">
        <v>6</v>
      </c>
      <c r="Z106">
        <v>84</v>
      </c>
      <c r="AA106">
        <v>102</v>
      </c>
      <c r="AB106">
        <v>14.4</v>
      </c>
      <c r="AC106">
        <v>7.1999999999999993</v>
      </c>
      <c r="AD106">
        <v>16.8</v>
      </c>
      <c r="AE106">
        <v>3.6</v>
      </c>
      <c r="AF106">
        <v>42</v>
      </c>
      <c r="AG106">
        <v>90</v>
      </c>
      <c r="AH106">
        <v>132</v>
      </c>
      <c r="AI106">
        <v>180</v>
      </c>
      <c r="AJ106">
        <v>0</v>
      </c>
      <c r="AK106">
        <v>9.6</v>
      </c>
      <c r="AL106">
        <v>19.2</v>
      </c>
      <c r="AM106">
        <v>7.2</v>
      </c>
      <c r="AN106">
        <v>28.8</v>
      </c>
      <c r="AO106">
        <v>4.8</v>
      </c>
      <c r="AP106">
        <v>14.4</v>
      </c>
      <c r="AQ106">
        <v>0</v>
      </c>
    </row>
    <row r="107" spans="1:43" x14ac:dyDescent="0.2">
      <c r="A107">
        <v>331</v>
      </c>
      <c r="B107">
        <v>47.5</v>
      </c>
      <c r="C107">
        <v>416.66666666666669</v>
      </c>
      <c r="D107">
        <v>416.66666666666669</v>
      </c>
      <c r="E107">
        <v>416.66666666666669</v>
      </c>
      <c r="F107">
        <f t="shared" si="30"/>
        <v>833.33333333333337</v>
      </c>
      <c r="G107">
        <f t="shared" si="31"/>
        <v>833.33333333333337</v>
      </c>
      <c r="H107">
        <v>1250</v>
      </c>
      <c r="I107">
        <v>0.26315789473684209</v>
      </c>
      <c r="J107">
        <v>0.26315789473684209</v>
      </c>
      <c r="K107">
        <v>0.26315789473684209</v>
      </c>
      <c r="L107">
        <f t="shared" si="32"/>
        <v>0.52631578947368429</v>
      </c>
      <c r="M107">
        <f t="shared" si="33"/>
        <v>0.52631578947368429</v>
      </c>
      <c r="N107">
        <v>0.78947368421052644</v>
      </c>
      <c r="O107">
        <f t="shared" si="21"/>
        <v>0.18684210526315792</v>
      </c>
      <c r="P107">
        <f t="shared" si="22"/>
        <v>8.6842105263157887E-2</v>
      </c>
      <c r="Q107">
        <f t="shared" si="23"/>
        <v>0.13684210526315793</v>
      </c>
      <c r="R107">
        <f t="shared" si="24"/>
        <v>0</v>
      </c>
      <c r="S107">
        <f t="shared" si="25"/>
        <v>0</v>
      </c>
      <c r="T107">
        <f t="shared" si="26"/>
        <v>0.21052631578947356</v>
      </c>
      <c r="U107">
        <f t="shared" si="27"/>
        <v>0.28148055339411665</v>
      </c>
      <c r="V107">
        <f t="shared" si="28"/>
        <v>0.24734042394756175</v>
      </c>
      <c r="W107">
        <f t="shared" si="29"/>
        <v>0.21052631578947356</v>
      </c>
      <c r="X107">
        <v>0</v>
      </c>
      <c r="Y107">
        <v>1.2</v>
      </c>
      <c r="Z107">
        <v>85.2</v>
      </c>
      <c r="AA107">
        <v>98.399999999999991</v>
      </c>
      <c r="AB107">
        <v>13.22526315789481</v>
      </c>
      <c r="AC107">
        <v>12.46105263157895</v>
      </c>
      <c r="AD107">
        <v>15.14526315789476</v>
      </c>
      <c r="AE107">
        <v>5.9052631578946606</v>
      </c>
      <c r="AF107">
        <v>46.73684210526288</v>
      </c>
      <c r="AG107">
        <v>94.736842105263165</v>
      </c>
      <c r="AH107">
        <v>141.47368421052599</v>
      </c>
      <c r="AI107">
        <v>180</v>
      </c>
      <c r="AJ107">
        <v>0</v>
      </c>
      <c r="AK107">
        <v>14.703157894736879</v>
      </c>
      <c r="AL107">
        <v>17.823157894736909</v>
      </c>
      <c r="AM107">
        <v>11.810526315789319</v>
      </c>
      <c r="AN107">
        <v>26.450526315789631</v>
      </c>
      <c r="AO107">
        <v>10.21894736842102</v>
      </c>
      <c r="AP107">
        <v>12.467368421052621</v>
      </c>
      <c r="AQ107">
        <v>0</v>
      </c>
    </row>
    <row r="108" spans="1:43" x14ac:dyDescent="0.2">
      <c r="A108">
        <v>331</v>
      </c>
      <c r="B108">
        <v>45</v>
      </c>
      <c r="C108">
        <v>416.66666666666669</v>
      </c>
      <c r="D108">
        <v>416.66666666666669</v>
      </c>
      <c r="E108">
        <v>416.66666666666669</v>
      </c>
      <c r="F108">
        <f t="shared" si="30"/>
        <v>833.33333333333337</v>
      </c>
      <c r="G108">
        <f t="shared" si="31"/>
        <v>833.33333333333337</v>
      </c>
      <c r="H108">
        <v>1250</v>
      </c>
      <c r="I108">
        <v>0.27777777777777779</v>
      </c>
      <c r="J108">
        <v>0.27777777777777779</v>
      </c>
      <c r="K108">
        <v>0.27777777777777779</v>
      </c>
      <c r="L108">
        <f t="shared" si="32"/>
        <v>0.55555555555555558</v>
      </c>
      <c r="M108">
        <f t="shared" si="33"/>
        <v>0.55555555555555558</v>
      </c>
      <c r="N108">
        <v>0.83333333333333337</v>
      </c>
      <c r="O108">
        <f t="shared" si="21"/>
        <v>0.17222222222222222</v>
      </c>
      <c r="P108">
        <f t="shared" si="22"/>
        <v>7.2222222222222188E-2</v>
      </c>
      <c r="Q108">
        <f t="shared" si="23"/>
        <v>0.12222222222222223</v>
      </c>
      <c r="R108">
        <f t="shared" si="24"/>
        <v>0</v>
      </c>
      <c r="S108">
        <f t="shared" si="25"/>
        <v>5.5555555555555358E-3</v>
      </c>
      <c r="T108">
        <f t="shared" si="26"/>
        <v>0.16666666666666663</v>
      </c>
      <c r="U108">
        <f t="shared" si="27"/>
        <v>0.23966282900136654</v>
      </c>
      <c r="V108">
        <f t="shared" si="28"/>
        <v>0.22319232696222963</v>
      </c>
      <c r="W108">
        <f t="shared" si="29"/>
        <v>0.16675923355337369</v>
      </c>
      <c r="X108">
        <v>0</v>
      </c>
      <c r="Y108">
        <v>43.2</v>
      </c>
      <c r="Z108">
        <v>46.8</v>
      </c>
      <c r="AA108">
        <v>109.2</v>
      </c>
      <c r="AB108">
        <v>18.226666666666439</v>
      </c>
      <c r="AC108">
        <v>14.906666666666609</v>
      </c>
      <c r="AD108">
        <v>13.853333333333319</v>
      </c>
      <c r="AE108">
        <v>3.6799999999999269</v>
      </c>
      <c r="AF108">
        <v>50.66666666666638</v>
      </c>
      <c r="AG108">
        <v>100</v>
      </c>
      <c r="AH108">
        <v>150.6666666666664</v>
      </c>
      <c r="AI108">
        <v>180</v>
      </c>
      <c r="AJ108">
        <v>0</v>
      </c>
      <c r="AK108">
        <v>9.8666666666666671</v>
      </c>
      <c r="AL108">
        <v>3.439999999999984</v>
      </c>
      <c r="AM108">
        <v>7.3599999999998547</v>
      </c>
      <c r="AN108">
        <v>36.453333333332878</v>
      </c>
      <c r="AO108">
        <v>19.946666666666552</v>
      </c>
      <c r="AP108">
        <v>24.266666666666669</v>
      </c>
      <c r="AQ108">
        <v>0</v>
      </c>
    </row>
    <row r="109" spans="1:43" x14ac:dyDescent="0.2">
      <c r="A109">
        <v>331</v>
      </c>
      <c r="B109">
        <v>42.5</v>
      </c>
      <c r="C109">
        <v>416.66666666666669</v>
      </c>
      <c r="D109">
        <v>416.66666666666669</v>
      </c>
      <c r="E109">
        <v>416.66666666666669</v>
      </c>
      <c r="F109">
        <f t="shared" si="30"/>
        <v>833.33333333333337</v>
      </c>
      <c r="G109">
        <f t="shared" si="31"/>
        <v>833.33333333333337</v>
      </c>
      <c r="H109">
        <v>1250</v>
      </c>
      <c r="I109">
        <v>0.29411764705882348</v>
      </c>
      <c r="J109">
        <v>0.29411764705882348</v>
      </c>
      <c r="K109">
        <v>0.29411764705882348</v>
      </c>
      <c r="L109">
        <f t="shared" si="32"/>
        <v>0.58823529411764708</v>
      </c>
      <c r="M109">
        <f t="shared" si="33"/>
        <v>0.58823529411764708</v>
      </c>
      <c r="N109">
        <v>0.88235294117647056</v>
      </c>
      <c r="O109">
        <f t="shared" si="21"/>
        <v>0.15588235294117653</v>
      </c>
      <c r="P109">
        <f t="shared" si="22"/>
        <v>5.5882352941176494E-2</v>
      </c>
      <c r="Q109">
        <f t="shared" si="23"/>
        <v>0.10588235294117654</v>
      </c>
      <c r="R109">
        <f t="shared" si="24"/>
        <v>0</v>
      </c>
      <c r="S109">
        <f t="shared" si="25"/>
        <v>3.8235294117647034E-2</v>
      </c>
      <c r="T109">
        <f t="shared" si="26"/>
        <v>0.11764705882352944</v>
      </c>
      <c r="U109">
        <f t="shared" si="27"/>
        <v>0.19529500354157686</v>
      </c>
      <c r="V109">
        <f t="shared" si="28"/>
        <v>0.19655334643063094</v>
      </c>
      <c r="W109">
        <f t="shared" si="29"/>
        <v>0.12370435791066525</v>
      </c>
      <c r="X109">
        <v>0</v>
      </c>
      <c r="Y109">
        <v>61.2</v>
      </c>
      <c r="Z109">
        <v>54</v>
      </c>
      <c r="AA109">
        <v>16.8</v>
      </c>
      <c r="AB109">
        <v>7.3623529411763444</v>
      </c>
      <c r="AC109">
        <v>19.390588235294089</v>
      </c>
      <c r="AD109">
        <v>6.501176470588204</v>
      </c>
      <c r="AE109">
        <v>15.451764705882271</v>
      </c>
      <c r="AF109">
        <v>48.705882352940662</v>
      </c>
      <c r="AG109">
        <v>105.88235294117651</v>
      </c>
      <c r="AH109">
        <v>154.58823529411711</v>
      </c>
      <c r="AI109">
        <v>180</v>
      </c>
      <c r="AJ109">
        <v>0</v>
      </c>
      <c r="AK109">
        <v>25.90588235294118</v>
      </c>
      <c r="AL109">
        <v>11.096470588235229</v>
      </c>
      <c r="AM109">
        <v>30.903529411764531</v>
      </c>
      <c r="AN109">
        <v>14.724705882352691</v>
      </c>
      <c r="AO109">
        <v>12.875294117646989</v>
      </c>
      <c r="AP109">
        <v>1.905882352941181</v>
      </c>
      <c r="AQ109">
        <v>0</v>
      </c>
    </row>
    <row r="110" spans="1:43" x14ac:dyDescent="0.2">
      <c r="A110">
        <v>331</v>
      </c>
      <c r="B110">
        <v>40</v>
      </c>
      <c r="C110">
        <v>416.66666666666669</v>
      </c>
      <c r="D110">
        <v>416.66666666666669</v>
      </c>
      <c r="E110">
        <v>416.66666666666669</v>
      </c>
      <c r="F110">
        <f t="shared" si="30"/>
        <v>833.33333333333337</v>
      </c>
      <c r="G110">
        <f t="shared" si="31"/>
        <v>833.33333333333337</v>
      </c>
      <c r="H110">
        <v>1250</v>
      </c>
      <c r="I110">
        <v>0.31250000000000011</v>
      </c>
      <c r="J110">
        <v>0.31250000000000011</v>
      </c>
      <c r="K110">
        <v>0.31250000000000011</v>
      </c>
      <c r="L110">
        <f t="shared" si="32"/>
        <v>0.62500000000000011</v>
      </c>
      <c r="M110">
        <f t="shared" si="33"/>
        <v>0.62500000000000011</v>
      </c>
      <c r="N110">
        <v>0.93750000000000022</v>
      </c>
      <c r="O110">
        <f t="shared" si="21"/>
        <v>0.1374999999999999</v>
      </c>
      <c r="P110">
        <f t="shared" si="22"/>
        <v>3.7499999999999867E-2</v>
      </c>
      <c r="Q110">
        <f t="shared" si="23"/>
        <v>8.7499999999999911E-2</v>
      </c>
      <c r="R110">
        <f t="shared" si="24"/>
        <v>2.5000000000000133E-2</v>
      </c>
      <c r="S110">
        <f t="shared" si="25"/>
        <v>7.5000000000000067E-2</v>
      </c>
      <c r="T110">
        <f t="shared" si="26"/>
        <v>6.2499999999999778E-2</v>
      </c>
      <c r="U110">
        <f t="shared" si="27"/>
        <v>0.15103807466993197</v>
      </c>
      <c r="V110">
        <f t="shared" si="28"/>
        <v>0.16723860200324547</v>
      </c>
      <c r="W110">
        <f t="shared" si="29"/>
        <v>0.10077822185373181</v>
      </c>
      <c r="X110">
        <v>0</v>
      </c>
      <c r="Y110">
        <v>43.2</v>
      </c>
      <c r="Z110">
        <v>22.8</v>
      </c>
      <c r="AA110">
        <v>97.2</v>
      </c>
      <c r="AB110">
        <v>14.159999999999901</v>
      </c>
      <c r="AC110">
        <v>4.8899999999999846</v>
      </c>
      <c r="AD110">
        <v>14.220000000000031</v>
      </c>
      <c r="AE110">
        <v>13.229999999999929</v>
      </c>
      <c r="AF110">
        <v>46.499999999999673</v>
      </c>
      <c r="AG110">
        <v>112.5</v>
      </c>
      <c r="AH110">
        <v>158.99999999999969</v>
      </c>
      <c r="AI110">
        <v>180</v>
      </c>
      <c r="AJ110">
        <v>0</v>
      </c>
      <c r="AK110">
        <v>5.7</v>
      </c>
      <c r="AL110">
        <v>20.34000000000006</v>
      </c>
      <c r="AM110">
        <v>26.459999999999859</v>
      </c>
      <c r="AN110">
        <v>28.319999999999791</v>
      </c>
      <c r="AO110">
        <v>4.0799999999999681</v>
      </c>
      <c r="AP110">
        <v>8.1</v>
      </c>
      <c r="AQ110">
        <v>0</v>
      </c>
    </row>
    <row r="111" spans="1:43" x14ac:dyDescent="0.2">
      <c r="A111">
        <v>331</v>
      </c>
      <c r="B111">
        <v>37.5</v>
      </c>
      <c r="C111">
        <v>416.66666666666669</v>
      </c>
      <c r="D111">
        <v>416.66666666666669</v>
      </c>
      <c r="E111">
        <v>416.66666666666669</v>
      </c>
      <c r="F111">
        <f t="shared" si="30"/>
        <v>833.33333333333337</v>
      </c>
      <c r="G111">
        <f t="shared" si="31"/>
        <v>833.33333333333337</v>
      </c>
      <c r="H111">
        <v>1250</v>
      </c>
      <c r="I111">
        <v>0.33333333333333343</v>
      </c>
      <c r="J111">
        <v>0.33333333333333343</v>
      </c>
      <c r="K111">
        <v>0.33333333333333343</v>
      </c>
      <c r="L111">
        <f t="shared" si="32"/>
        <v>0.66666666666666674</v>
      </c>
      <c r="M111">
        <f t="shared" si="33"/>
        <v>0.66666666666666674</v>
      </c>
      <c r="N111">
        <v>1</v>
      </c>
      <c r="O111">
        <f t="shared" si="21"/>
        <v>0.11666666666666659</v>
      </c>
      <c r="P111">
        <f t="shared" si="22"/>
        <v>1.6666666666666552E-2</v>
      </c>
      <c r="Q111">
        <f t="shared" si="23"/>
        <v>6.6666666666666596E-2</v>
      </c>
      <c r="R111">
        <f t="shared" si="24"/>
        <v>6.6666666666666763E-2</v>
      </c>
      <c r="S111">
        <f t="shared" si="25"/>
        <v>0.1166666666666667</v>
      </c>
      <c r="T111">
        <f t="shared" si="26"/>
        <v>0</v>
      </c>
      <c r="U111">
        <f t="shared" si="27"/>
        <v>0.11666666666666659</v>
      </c>
      <c r="V111">
        <f t="shared" si="28"/>
        <v>0.1354006400772659</v>
      </c>
      <c r="W111">
        <f t="shared" si="29"/>
        <v>0.13437096247164257</v>
      </c>
      <c r="X111">
        <v>0</v>
      </c>
      <c r="Y111">
        <v>48</v>
      </c>
      <c r="Z111">
        <v>63.599999999999987</v>
      </c>
      <c r="AA111">
        <v>22.8</v>
      </c>
      <c r="AB111">
        <v>14.359999999999941</v>
      </c>
      <c r="AC111">
        <v>21.43999999999998</v>
      </c>
      <c r="AD111">
        <v>0.51999999999991109</v>
      </c>
      <c r="AE111">
        <v>7.6799999999997253</v>
      </c>
      <c r="AF111">
        <v>43.999999999999559</v>
      </c>
      <c r="AG111">
        <v>120</v>
      </c>
      <c r="AH111">
        <v>163.9999999999996</v>
      </c>
      <c r="AI111">
        <v>180</v>
      </c>
      <c r="AJ111">
        <v>0</v>
      </c>
      <c r="AK111">
        <v>8</v>
      </c>
      <c r="AL111">
        <v>0.23999999999990301</v>
      </c>
      <c r="AM111">
        <v>15.359999999999451</v>
      </c>
      <c r="AN111">
        <v>28.719999999999871</v>
      </c>
      <c r="AO111">
        <v>34.879999999999967</v>
      </c>
      <c r="AP111">
        <v>0.79999999999991911</v>
      </c>
      <c r="AQ111">
        <v>0</v>
      </c>
    </row>
    <row r="112" spans="1:43" x14ac:dyDescent="0.2">
      <c r="A112">
        <v>331</v>
      </c>
      <c r="B112">
        <v>35</v>
      </c>
      <c r="C112">
        <v>416.66666666666669</v>
      </c>
      <c r="D112">
        <v>416.66666666666669</v>
      </c>
      <c r="E112">
        <v>416.66666666666669</v>
      </c>
      <c r="F112">
        <f t="shared" si="30"/>
        <v>833.33333333333337</v>
      </c>
      <c r="G112">
        <f t="shared" si="31"/>
        <v>833.33333333333337</v>
      </c>
      <c r="H112">
        <v>1250</v>
      </c>
      <c r="I112">
        <v>0.35714285714285721</v>
      </c>
      <c r="J112">
        <v>0.35714285714285721</v>
      </c>
      <c r="K112">
        <v>0.35714285714285721</v>
      </c>
      <c r="L112">
        <f t="shared" si="32"/>
        <v>0.7142857142857143</v>
      </c>
      <c r="M112">
        <f t="shared" si="33"/>
        <v>0.7142857142857143</v>
      </c>
      <c r="N112">
        <v>1.071428571428571</v>
      </c>
      <c r="O112">
        <f t="shared" si="21"/>
        <v>9.2857142857142805E-2</v>
      </c>
      <c r="P112">
        <f t="shared" si="22"/>
        <v>0</v>
      </c>
      <c r="Q112">
        <f t="shared" si="23"/>
        <v>4.2857142857142816E-2</v>
      </c>
      <c r="R112">
        <f t="shared" si="24"/>
        <v>0.11428571428571432</v>
      </c>
      <c r="S112">
        <f t="shared" si="25"/>
        <v>0.16428571428571426</v>
      </c>
      <c r="T112">
        <f t="shared" si="26"/>
        <v>7.1428571428570953E-2</v>
      </c>
      <c r="U112">
        <f t="shared" si="27"/>
        <v>0.11715156762040485</v>
      </c>
      <c r="V112">
        <f t="shared" si="28"/>
        <v>0.10227015045197388</v>
      </c>
      <c r="W112">
        <f t="shared" si="29"/>
        <v>0.21249249686633578</v>
      </c>
      <c r="X112">
        <v>0</v>
      </c>
      <c r="Y112">
        <v>49.2</v>
      </c>
      <c r="Z112">
        <v>38.4</v>
      </c>
      <c r="AA112">
        <v>109.2</v>
      </c>
      <c r="AB112">
        <v>9.977142857142745</v>
      </c>
      <c r="AC112">
        <v>11.194285714285639</v>
      </c>
      <c r="AD112">
        <v>12.06857142857144</v>
      </c>
      <c r="AE112">
        <v>7.9028571428571013</v>
      </c>
      <c r="AF112">
        <v>41.14285714285684</v>
      </c>
      <c r="AG112">
        <v>128.57142857142861</v>
      </c>
      <c r="AH112">
        <v>169.71428571428541</v>
      </c>
      <c r="AI112">
        <v>180</v>
      </c>
      <c r="AJ112">
        <v>0</v>
      </c>
      <c r="AK112">
        <v>6.3428571428571656</v>
      </c>
      <c r="AL112">
        <v>17.794285714285721</v>
      </c>
      <c r="AM112">
        <v>15.805714285714201</v>
      </c>
      <c r="AN112">
        <v>19.95428571428549</v>
      </c>
      <c r="AO112">
        <v>16.045714285714109</v>
      </c>
      <c r="AP112">
        <v>6.3428571428571656</v>
      </c>
      <c r="AQ112">
        <v>0</v>
      </c>
    </row>
    <row r="113" spans="1:43" x14ac:dyDescent="0.2">
      <c r="A113">
        <v>331</v>
      </c>
      <c r="B113">
        <v>32.5</v>
      </c>
      <c r="C113">
        <v>416.66666666666669</v>
      </c>
      <c r="D113">
        <v>416.66666666666669</v>
      </c>
      <c r="E113">
        <v>416.66666666666669</v>
      </c>
      <c r="F113">
        <f t="shared" si="30"/>
        <v>833.33333333333337</v>
      </c>
      <c r="G113">
        <f t="shared" si="31"/>
        <v>833.33333333333337</v>
      </c>
      <c r="H113">
        <v>1250</v>
      </c>
      <c r="I113">
        <v>0.38461538461538458</v>
      </c>
      <c r="J113">
        <v>0.38461538461538458</v>
      </c>
      <c r="K113">
        <v>0.38461538461538458</v>
      </c>
      <c r="L113">
        <f t="shared" si="32"/>
        <v>0.76923076923076927</v>
      </c>
      <c r="M113">
        <f t="shared" si="33"/>
        <v>0.76923076923076927</v>
      </c>
      <c r="N113">
        <v>1.153846153846154</v>
      </c>
      <c r="O113">
        <f t="shared" si="21"/>
        <v>6.538461538461543E-2</v>
      </c>
      <c r="P113">
        <f t="shared" si="22"/>
        <v>0</v>
      </c>
      <c r="Q113">
        <f t="shared" si="23"/>
        <v>1.5384615384615441E-2</v>
      </c>
      <c r="R113">
        <f t="shared" si="24"/>
        <v>0.13076923076923075</v>
      </c>
      <c r="S113">
        <f t="shared" si="25"/>
        <v>0.18076923076923068</v>
      </c>
      <c r="T113">
        <f t="shared" si="26"/>
        <v>0.15384615384615397</v>
      </c>
      <c r="U113">
        <f t="shared" si="27"/>
        <v>0.16716395240077497</v>
      </c>
      <c r="V113">
        <f t="shared" si="28"/>
        <v>6.7170189217588452E-2</v>
      </c>
      <c r="W113">
        <f t="shared" si="29"/>
        <v>0.27101060046081255</v>
      </c>
      <c r="X113">
        <v>0</v>
      </c>
      <c r="Y113">
        <v>61.2</v>
      </c>
      <c r="Z113">
        <v>58.8</v>
      </c>
      <c r="AA113">
        <v>9.6</v>
      </c>
      <c r="AB113">
        <v>3.498461538461318</v>
      </c>
      <c r="AC113">
        <v>20.224615384615429</v>
      </c>
      <c r="AD113">
        <v>8.8892307692306023</v>
      </c>
      <c r="AE113">
        <v>5.2338461538463079</v>
      </c>
      <c r="AF113">
        <v>37.846153846153541</v>
      </c>
      <c r="AG113">
        <v>138.46153846153851</v>
      </c>
      <c r="AH113">
        <v>176.30769230769201</v>
      </c>
      <c r="AI113">
        <v>180</v>
      </c>
      <c r="AJ113">
        <v>0</v>
      </c>
      <c r="AK113">
        <v>15.046153846153819</v>
      </c>
      <c r="AL113">
        <v>14.732307692307471</v>
      </c>
      <c r="AM113">
        <v>10.467692307692619</v>
      </c>
      <c r="AN113">
        <v>6.9969230769226369</v>
      </c>
      <c r="AO113">
        <v>25.403076923077041</v>
      </c>
      <c r="AP113">
        <v>3.0461538461537399</v>
      </c>
      <c r="AQ113">
        <v>0</v>
      </c>
    </row>
    <row r="114" spans="1:43" x14ac:dyDescent="0.2">
      <c r="A114">
        <v>331</v>
      </c>
      <c r="B114">
        <v>30</v>
      </c>
      <c r="C114">
        <v>416.66666666666669</v>
      </c>
      <c r="D114">
        <v>416.66666666666669</v>
      </c>
      <c r="E114">
        <v>416.66666666666669</v>
      </c>
      <c r="F114">
        <f t="shared" si="30"/>
        <v>833.33333333333337</v>
      </c>
      <c r="G114">
        <f t="shared" si="31"/>
        <v>833.33333333333337</v>
      </c>
      <c r="H114">
        <v>1250</v>
      </c>
      <c r="I114">
        <v>0.41666666666666669</v>
      </c>
      <c r="J114">
        <v>0.41666666666666669</v>
      </c>
      <c r="K114">
        <v>0.41666666666666669</v>
      </c>
      <c r="L114">
        <f t="shared" si="32"/>
        <v>0.83333333333333337</v>
      </c>
      <c r="M114">
        <f t="shared" si="33"/>
        <v>0.83333333333333337</v>
      </c>
      <c r="N114">
        <v>1.25</v>
      </c>
      <c r="O114">
        <f t="shared" si="21"/>
        <v>3.3333333333333326E-2</v>
      </c>
      <c r="P114">
        <f t="shared" si="22"/>
        <v>0</v>
      </c>
      <c r="Q114">
        <f t="shared" si="23"/>
        <v>0</v>
      </c>
      <c r="R114">
        <f t="shared" si="24"/>
        <v>6.6666666666666652E-2</v>
      </c>
      <c r="S114">
        <f t="shared" si="25"/>
        <v>0.11666666666666659</v>
      </c>
      <c r="T114">
        <f t="shared" si="26"/>
        <v>0.25</v>
      </c>
      <c r="U114">
        <f t="shared" si="27"/>
        <v>0.25221243250702591</v>
      </c>
      <c r="V114">
        <f t="shared" si="28"/>
        <v>3.3333333333333326E-2</v>
      </c>
      <c r="W114">
        <f t="shared" si="29"/>
        <v>0.28382310609877331</v>
      </c>
      <c r="X114">
        <v>0</v>
      </c>
      <c r="Y114">
        <v>38.4</v>
      </c>
      <c r="Z114">
        <v>0</v>
      </c>
      <c r="AA114">
        <v>50.4</v>
      </c>
      <c r="AB114">
        <v>10</v>
      </c>
      <c r="AC114">
        <v>0</v>
      </c>
      <c r="AD114">
        <v>19.8</v>
      </c>
      <c r="AE114">
        <v>0.2</v>
      </c>
      <c r="AF114">
        <v>30</v>
      </c>
      <c r="AG114">
        <v>150</v>
      </c>
      <c r="AH114">
        <v>180</v>
      </c>
      <c r="AI114">
        <v>180</v>
      </c>
      <c r="AJ114">
        <v>0</v>
      </c>
      <c r="AK114">
        <v>0</v>
      </c>
      <c r="AL114">
        <v>20</v>
      </c>
      <c r="AM114">
        <v>0.4</v>
      </c>
      <c r="AN114">
        <v>20</v>
      </c>
      <c r="AO114">
        <v>0</v>
      </c>
      <c r="AP114">
        <v>19.600000000000001</v>
      </c>
      <c r="AQ114">
        <v>0</v>
      </c>
    </row>
    <row r="115" spans="1:43" x14ac:dyDescent="0.2">
      <c r="A115">
        <v>331</v>
      </c>
      <c r="B115">
        <v>27.5</v>
      </c>
      <c r="C115">
        <v>416.66666666666669</v>
      </c>
      <c r="D115">
        <v>416.66666666666669</v>
      </c>
      <c r="E115">
        <v>416.66666666666669</v>
      </c>
      <c r="F115">
        <f t="shared" si="30"/>
        <v>833.33333333333337</v>
      </c>
      <c r="G115">
        <f t="shared" si="31"/>
        <v>833.33333333333337</v>
      </c>
      <c r="H115">
        <v>1250</v>
      </c>
      <c r="I115">
        <v>0.45454545454545459</v>
      </c>
      <c r="J115">
        <v>0.45454545454545459</v>
      </c>
      <c r="K115">
        <v>0.45454545454545459</v>
      </c>
      <c r="L115">
        <f t="shared" si="32"/>
        <v>0.90909090909090917</v>
      </c>
      <c r="M115">
        <f t="shared" si="33"/>
        <v>0.90909090909090917</v>
      </c>
      <c r="N115">
        <v>1.363636363636364</v>
      </c>
      <c r="O115">
        <f t="shared" si="21"/>
        <v>0</v>
      </c>
      <c r="P115">
        <f t="shared" si="22"/>
        <v>0</v>
      </c>
      <c r="Q115">
        <f t="shared" si="23"/>
        <v>0</v>
      </c>
      <c r="R115">
        <f t="shared" si="24"/>
        <v>0</v>
      </c>
      <c r="S115">
        <f t="shared" si="25"/>
        <v>4.0909090909090784E-2</v>
      </c>
      <c r="T115">
        <f t="shared" si="26"/>
        <v>0.13636363636363602</v>
      </c>
      <c r="U115">
        <f t="shared" si="27"/>
        <v>0.13636363636363602</v>
      </c>
      <c r="V115">
        <f t="shared" si="28"/>
        <v>0</v>
      </c>
      <c r="W115">
        <f t="shared" si="29"/>
        <v>0.14236781603059803</v>
      </c>
      <c r="X115">
        <v>0</v>
      </c>
      <c r="Y115">
        <v>43.2</v>
      </c>
      <c r="Z115">
        <v>0</v>
      </c>
      <c r="AA115">
        <v>55.2</v>
      </c>
      <c r="AB115">
        <v>5.4545454545454657</v>
      </c>
      <c r="AC115">
        <v>0</v>
      </c>
      <c r="AD115">
        <v>10.58181818181818</v>
      </c>
      <c r="AE115">
        <v>0.32727272727271262</v>
      </c>
      <c r="AF115">
        <v>16.363636363636349</v>
      </c>
      <c r="AG115">
        <v>163.63636363636371</v>
      </c>
      <c r="AH115">
        <v>180</v>
      </c>
      <c r="AI115">
        <v>180</v>
      </c>
      <c r="AJ115">
        <v>0</v>
      </c>
      <c r="AK115">
        <v>0</v>
      </c>
      <c r="AL115">
        <v>10.90909090909093</v>
      </c>
      <c r="AM115">
        <v>0.65454545454542512</v>
      </c>
      <c r="AN115">
        <v>10.90909090909093</v>
      </c>
      <c r="AO115">
        <v>0</v>
      </c>
      <c r="AP115">
        <v>10.254545454545431</v>
      </c>
      <c r="AQ115">
        <v>0</v>
      </c>
    </row>
    <row r="116" spans="1:43" x14ac:dyDescent="0.2">
      <c r="A116">
        <v>331</v>
      </c>
      <c r="B116">
        <v>25</v>
      </c>
      <c r="C116">
        <v>416.66666666666669</v>
      </c>
      <c r="D116">
        <v>416.66666666666669</v>
      </c>
      <c r="E116">
        <v>416.66666666666669</v>
      </c>
      <c r="F116">
        <f t="shared" si="30"/>
        <v>833.33333333333337</v>
      </c>
      <c r="G116">
        <f t="shared" si="31"/>
        <v>833.33333333333337</v>
      </c>
      <c r="H116">
        <v>1250</v>
      </c>
      <c r="I116">
        <v>0.5</v>
      </c>
      <c r="J116">
        <v>0.5</v>
      </c>
      <c r="K116">
        <v>0.5</v>
      </c>
      <c r="L116">
        <f t="shared" si="32"/>
        <v>1</v>
      </c>
      <c r="M116">
        <f t="shared" si="33"/>
        <v>1</v>
      </c>
      <c r="N116">
        <v>1.5</v>
      </c>
      <c r="O116">
        <f t="shared" si="21"/>
        <v>0</v>
      </c>
      <c r="P116">
        <f t="shared" si="22"/>
        <v>0</v>
      </c>
      <c r="Q116">
        <f t="shared" si="23"/>
        <v>0</v>
      </c>
      <c r="R116">
        <f t="shared" si="24"/>
        <v>0</v>
      </c>
      <c r="S116">
        <f t="shared" si="25"/>
        <v>0</v>
      </c>
      <c r="T116">
        <f t="shared" si="26"/>
        <v>0</v>
      </c>
      <c r="U116">
        <f t="shared" si="27"/>
        <v>0</v>
      </c>
      <c r="V116">
        <f t="shared" si="28"/>
        <v>0</v>
      </c>
      <c r="W116">
        <f t="shared" si="29"/>
        <v>0</v>
      </c>
      <c r="X116">
        <v>0</v>
      </c>
      <c r="Y116">
        <v>48</v>
      </c>
      <c r="Z116">
        <v>0</v>
      </c>
      <c r="AA116">
        <v>60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180</v>
      </c>
      <c r="AH116">
        <v>180</v>
      </c>
      <c r="AI116">
        <v>180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">
      <c r="A117">
        <v>331</v>
      </c>
      <c r="B117">
        <v>22.5</v>
      </c>
      <c r="C117">
        <v>416.66666666666669</v>
      </c>
      <c r="D117">
        <v>416.66666666666669</v>
      </c>
      <c r="E117">
        <v>416.66666666666669</v>
      </c>
      <c r="F117">
        <f t="shared" si="30"/>
        <v>833.33333333333337</v>
      </c>
      <c r="G117">
        <f t="shared" si="31"/>
        <v>833.33333333333337</v>
      </c>
      <c r="H117">
        <v>1250</v>
      </c>
      <c r="I117">
        <v>0.55555555555555558</v>
      </c>
      <c r="J117">
        <v>0.55555555555555558</v>
      </c>
      <c r="K117">
        <v>0.55555555555555558</v>
      </c>
      <c r="L117">
        <f t="shared" si="32"/>
        <v>1.1111111111111112</v>
      </c>
      <c r="M117">
        <f t="shared" si="33"/>
        <v>1.1111111111111112</v>
      </c>
      <c r="N117">
        <v>1.666666666666667</v>
      </c>
      <c r="O117">
        <f t="shared" si="21"/>
        <v>5.5555555555555358E-3</v>
      </c>
      <c r="P117">
        <f t="shared" si="22"/>
        <v>0</v>
      </c>
      <c r="Q117">
        <f t="shared" si="23"/>
        <v>0</v>
      </c>
      <c r="R117">
        <f t="shared" si="24"/>
        <v>1.1111111111111155E-2</v>
      </c>
      <c r="S117">
        <f t="shared" si="25"/>
        <v>6.1111111111111158E-2</v>
      </c>
      <c r="T117">
        <f t="shared" si="26"/>
        <v>0.16666666666666696</v>
      </c>
      <c r="U117">
        <f t="shared" si="27"/>
        <v>0.16675923355337402</v>
      </c>
      <c r="V117">
        <f t="shared" si="28"/>
        <v>5.5555555555555358E-3</v>
      </c>
      <c r="W117">
        <f t="shared" si="29"/>
        <v>0.17786456215091276</v>
      </c>
      <c r="X117">
        <v>0</v>
      </c>
      <c r="Y117">
        <v>42</v>
      </c>
      <c r="Z117">
        <v>0</v>
      </c>
      <c r="AA117">
        <v>62.4</v>
      </c>
      <c r="AB117">
        <v>2.50666666666661</v>
      </c>
      <c r="AC117">
        <v>13.75999999999998</v>
      </c>
      <c r="AD117">
        <v>1.19629629629631</v>
      </c>
      <c r="AE117">
        <v>2.5370370370369431</v>
      </c>
      <c r="AF117">
        <v>19.9999999999993</v>
      </c>
      <c r="AG117">
        <v>200</v>
      </c>
      <c r="AH117">
        <v>219.99999999999929</v>
      </c>
      <c r="AI117">
        <v>180</v>
      </c>
      <c r="AJ117">
        <v>0</v>
      </c>
      <c r="AK117">
        <v>10.133333333333249</v>
      </c>
      <c r="AL117">
        <v>2.392592592592619</v>
      </c>
      <c r="AM117">
        <v>5.0740740740738852</v>
      </c>
      <c r="AN117">
        <v>5.01333333333322</v>
      </c>
      <c r="AO117">
        <v>17.386666666666699</v>
      </c>
      <c r="AP117">
        <v>0</v>
      </c>
      <c r="AQ117">
        <v>0</v>
      </c>
    </row>
    <row r="118" spans="1:43" x14ac:dyDescent="0.2">
      <c r="A118">
        <v>331</v>
      </c>
      <c r="B118">
        <v>20</v>
      </c>
      <c r="C118">
        <v>416.66666666666669</v>
      </c>
      <c r="D118">
        <v>416.66666666666669</v>
      </c>
      <c r="E118">
        <v>416.66666666666669</v>
      </c>
      <c r="F118">
        <f t="shared" si="30"/>
        <v>833.33333333333337</v>
      </c>
      <c r="G118">
        <f t="shared" si="31"/>
        <v>833.33333333333337</v>
      </c>
      <c r="H118">
        <v>1250</v>
      </c>
      <c r="I118">
        <v>0.62500000000000011</v>
      </c>
      <c r="J118">
        <v>0.62500000000000011</v>
      </c>
      <c r="K118">
        <v>0.62500000000000011</v>
      </c>
      <c r="L118">
        <f t="shared" si="32"/>
        <v>1.2500000000000002</v>
      </c>
      <c r="M118">
        <f t="shared" si="33"/>
        <v>1.2500000000000002</v>
      </c>
      <c r="N118">
        <v>1.875</v>
      </c>
      <c r="O118">
        <f t="shared" si="21"/>
        <v>7.5000000000000067E-2</v>
      </c>
      <c r="P118">
        <f t="shared" si="22"/>
        <v>0</v>
      </c>
      <c r="Q118">
        <f t="shared" si="23"/>
        <v>2.5000000000000133E-2</v>
      </c>
      <c r="R118">
        <f t="shared" si="24"/>
        <v>0.1499999999999998</v>
      </c>
      <c r="S118">
        <f t="shared" si="25"/>
        <v>0.19999999999999979</v>
      </c>
      <c r="T118">
        <f t="shared" si="26"/>
        <v>0.125</v>
      </c>
      <c r="U118">
        <f t="shared" si="27"/>
        <v>0.14577379737113255</v>
      </c>
      <c r="V118">
        <f t="shared" si="28"/>
        <v>7.9056941504209596E-2</v>
      </c>
      <c r="W118">
        <f t="shared" si="29"/>
        <v>0.27950849718747345</v>
      </c>
      <c r="X118">
        <v>0</v>
      </c>
      <c r="Y118">
        <v>52.8</v>
      </c>
      <c r="Z118">
        <v>19.2</v>
      </c>
      <c r="AA118">
        <v>104.4</v>
      </c>
      <c r="AB118">
        <v>3.9</v>
      </c>
      <c r="AC118">
        <v>18.41999999999987</v>
      </c>
      <c r="AD118">
        <v>5.8290000000000068</v>
      </c>
      <c r="AE118">
        <v>4.8509999999997184</v>
      </c>
      <c r="AF118">
        <v>32.999999999999453</v>
      </c>
      <c r="AG118">
        <v>225</v>
      </c>
      <c r="AH118">
        <v>257.99999999999937</v>
      </c>
      <c r="AI118">
        <v>180</v>
      </c>
      <c r="AJ118">
        <v>0</v>
      </c>
      <c r="AK118">
        <v>8.1599999999999362</v>
      </c>
      <c r="AL118">
        <v>1.9379999999999811</v>
      </c>
      <c r="AM118">
        <v>9.7019999999994369</v>
      </c>
      <c r="AN118">
        <v>7.8</v>
      </c>
      <c r="AO118">
        <v>28.679999999999801</v>
      </c>
      <c r="AP118">
        <v>9.7200000000000326</v>
      </c>
      <c r="AQ118">
        <v>0</v>
      </c>
    </row>
    <row r="119" spans="1:43" x14ac:dyDescent="0.2">
      <c r="A119">
        <v>332</v>
      </c>
      <c r="B119">
        <v>50</v>
      </c>
      <c r="C119">
        <v>583.33333333333337</v>
      </c>
      <c r="D119">
        <v>416.66666666666669</v>
      </c>
      <c r="E119">
        <v>583.33333333333337</v>
      </c>
      <c r="F119">
        <f t="shared" si="30"/>
        <v>1000</v>
      </c>
      <c r="G119">
        <f t="shared" si="31"/>
        <v>1000</v>
      </c>
      <c r="H119">
        <v>1583.333333333333</v>
      </c>
      <c r="I119">
        <v>0.35</v>
      </c>
      <c r="J119">
        <v>0.25</v>
      </c>
      <c r="K119">
        <v>0.35</v>
      </c>
      <c r="L119">
        <f t="shared" si="32"/>
        <v>0.6</v>
      </c>
      <c r="M119">
        <f t="shared" si="33"/>
        <v>0.6</v>
      </c>
      <c r="N119">
        <v>0.95000000000000018</v>
      </c>
      <c r="O119">
        <f t="shared" si="21"/>
        <v>0.10000000000000003</v>
      </c>
      <c r="P119">
        <f t="shared" si="22"/>
        <v>9.9999999999999978E-2</v>
      </c>
      <c r="Q119">
        <f t="shared" si="23"/>
        <v>5.0000000000000044E-2</v>
      </c>
      <c r="R119">
        <f t="shared" si="24"/>
        <v>0</v>
      </c>
      <c r="S119">
        <f t="shared" si="25"/>
        <v>4.9999999999999933E-2</v>
      </c>
      <c r="T119">
        <f t="shared" si="26"/>
        <v>4.9999999999999822E-2</v>
      </c>
      <c r="U119">
        <f t="shared" si="27"/>
        <v>0.11180339887498944</v>
      </c>
      <c r="V119">
        <f t="shared" si="28"/>
        <v>0.15000000000000002</v>
      </c>
      <c r="W119">
        <f t="shared" si="29"/>
        <v>7.0710678118654585E-2</v>
      </c>
      <c r="X119">
        <v>0</v>
      </c>
      <c r="Y119">
        <v>43.2</v>
      </c>
      <c r="Z119">
        <v>34.799999999999997</v>
      </c>
      <c r="AA119">
        <v>103.2</v>
      </c>
      <c r="AB119">
        <v>12.359999999999809</v>
      </c>
      <c r="AC119">
        <v>4.4399999999999444</v>
      </c>
      <c r="AD119">
        <v>9.120000000000033</v>
      </c>
      <c r="AE119">
        <v>4.0799999999999681</v>
      </c>
      <c r="AF119">
        <v>29.99999999999967</v>
      </c>
      <c r="AG119">
        <v>114</v>
      </c>
      <c r="AH119">
        <v>143.99999999999969</v>
      </c>
      <c r="AI119">
        <v>180</v>
      </c>
      <c r="AJ119">
        <v>0</v>
      </c>
      <c r="AK119">
        <v>1.2</v>
      </c>
      <c r="AL119">
        <v>8.6400000000000645</v>
      </c>
      <c r="AM119">
        <v>8.1599999999999362</v>
      </c>
      <c r="AN119">
        <v>24.719999999999629</v>
      </c>
      <c r="AO119">
        <v>7.6799999999998869</v>
      </c>
      <c r="AP119">
        <v>9.6</v>
      </c>
      <c r="AQ119">
        <v>0</v>
      </c>
    </row>
    <row r="120" spans="1:43" x14ac:dyDescent="0.2">
      <c r="A120">
        <v>332</v>
      </c>
      <c r="B120">
        <v>47.5</v>
      </c>
      <c r="C120">
        <v>583.33333333333337</v>
      </c>
      <c r="D120">
        <v>416.66666666666669</v>
      </c>
      <c r="E120">
        <v>583.33333333333337</v>
      </c>
      <c r="F120">
        <f t="shared" si="30"/>
        <v>1000</v>
      </c>
      <c r="G120">
        <f t="shared" si="31"/>
        <v>1000</v>
      </c>
      <c r="H120">
        <v>1583.333333333333</v>
      </c>
      <c r="I120">
        <v>0.36842105263157898</v>
      </c>
      <c r="J120">
        <v>0.26315789473684209</v>
      </c>
      <c r="K120">
        <v>0.36842105263157898</v>
      </c>
      <c r="L120">
        <f t="shared" si="32"/>
        <v>0.63157894736842113</v>
      </c>
      <c r="M120">
        <f t="shared" si="33"/>
        <v>0.63157894736842113</v>
      </c>
      <c r="N120">
        <v>1</v>
      </c>
      <c r="O120">
        <f t="shared" si="21"/>
        <v>8.1578947368421029E-2</v>
      </c>
      <c r="P120">
        <f t="shared" si="22"/>
        <v>8.6842105263157887E-2</v>
      </c>
      <c r="Q120">
        <f t="shared" si="23"/>
        <v>3.157894736842104E-2</v>
      </c>
      <c r="R120">
        <f t="shared" si="24"/>
        <v>3.1578947368421151E-2</v>
      </c>
      <c r="S120">
        <f t="shared" si="25"/>
        <v>8.1578947368421084E-2</v>
      </c>
      <c r="T120">
        <f t="shared" si="26"/>
        <v>0</v>
      </c>
      <c r="U120">
        <f t="shared" si="27"/>
        <v>8.1578947368421029E-2</v>
      </c>
      <c r="V120">
        <f t="shared" si="28"/>
        <v>0.12326356240663544</v>
      </c>
      <c r="W120">
        <f t="shared" si="29"/>
        <v>8.7477737571550918E-2</v>
      </c>
      <c r="X120">
        <v>0</v>
      </c>
      <c r="Y120">
        <v>49.2</v>
      </c>
      <c r="Z120">
        <v>38.4</v>
      </c>
      <c r="AA120">
        <v>109.2</v>
      </c>
      <c r="AB120">
        <v>8.1726315789471595</v>
      </c>
      <c r="AC120">
        <v>6.0063157894736321</v>
      </c>
      <c r="AD120">
        <v>8.0084210526315367</v>
      </c>
      <c r="AE120">
        <v>4.9705263157893773</v>
      </c>
      <c r="AF120">
        <v>27.157894736841779</v>
      </c>
      <c r="AG120">
        <v>120</v>
      </c>
      <c r="AH120">
        <v>147.1578947368418</v>
      </c>
      <c r="AI120">
        <v>180</v>
      </c>
      <c r="AJ120">
        <v>0</v>
      </c>
      <c r="AK120">
        <v>4.9894736842105178</v>
      </c>
      <c r="AL120">
        <v>11.027368421052561</v>
      </c>
      <c r="AM120">
        <v>9.9410526315787546</v>
      </c>
      <c r="AN120">
        <v>16.345263157894319</v>
      </c>
      <c r="AO120">
        <v>7.0231578947367472</v>
      </c>
      <c r="AP120">
        <v>4.9894736842105178</v>
      </c>
      <c r="AQ120">
        <v>0</v>
      </c>
    </row>
    <row r="121" spans="1:43" x14ac:dyDescent="0.2">
      <c r="A121">
        <v>332</v>
      </c>
      <c r="B121">
        <v>45</v>
      </c>
      <c r="C121">
        <v>583.33333333333337</v>
      </c>
      <c r="D121">
        <v>416.66666666666669</v>
      </c>
      <c r="E121">
        <v>583.33333333333337</v>
      </c>
      <c r="F121">
        <f t="shared" si="30"/>
        <v>1000</v>
      </c>
      <c r="G121">
        <f t="shared" si="31"/>
        <v>1000</v>
      </c>
      <c r="H121">
        <v>1583.333333333333</v>
      </c>
      <c r="I121">
        <v>0.3888888888888889</v>
      </c>
      <c r="J121">
        <v>0.27777777777777779</v>
      </c>
      <c r="K121">
        <v>0.3888888888888889</v>
      </c>
      <c r="L121">
        <f t="shared" si="32"/>
        <v>0.66666666666666663</v>
      </c>
      <c r="M121">
        <f t="shared" si="33"/>
        <v>0.66666666666666663</v>
      </c>
      <c r="N121">
        <v>1.055555555555556</v>
      </c>
      <c r="O121">
        <f t="shared" si="21"/>
        <v>6.1111111111111116E-2</v>
      </c>
      <c r="P121">
        <f t="shared" si="22"/>
        <v>7.2222222222222188E-2</v>
      </c>
      <c r="Q121">
        <f t="shared" si="23"/>
        <v>1.1111111111111127E-2</v>
      </c>
      <c r="R121">
        <f t="shared" si="24"/>
        <v>6.6666666666666652E-2</v>
      </c>
      <c r="S121">
        <f t="shared" si="25"/>
        <v>0.11666666666666659</v>
      </c>
      <c r="T121">
        <f t="shared" si="26"/>
        <v>5.5555555555556024E-2</v>
      </c>
      <c r="U121">
        <f t="shared" si="27"/>
        <v>8.2589270818436464E-2</v>
      </c>
      <c r="V121">
        <f t="shared" si="28"/>
        <v>9.5257934441568007E-2</v>
      </c>
      <c r="W121">
        <f t="shared" si="29"/>
        <v>0.14540280364780456</v>
      </c>
      <c r="X121">
        <v>0</v>
      </c>
      <c r="Y121">
        <v>58.8</v>
      </c>
      <c r="Z121">
        <v>61.2</v>
      </c>
      <c r="AA121">
        <v>14.4</v>
      </c>
      <c r="AB121">
        <v>3.640000000000065</v>
      </c>
      <c r="AC121">
        <v>15.559999999999979</v>
      </c>
      <c r="AD121">
        <v>2.1466666666666749</v>
      </c>
      <c r="AE121">
        <v>2.6533333333330829</v>
      </c>
      <c r="AF121">
        <v>23.999999999999659</v>
      </c>
      <c r="AG121">
        <v>126.6666666666667</v>
      </c>
      <c r="AH121">
        <v>150.66666666666629</v>
      </c>
      <c r="AI121">
        <v>180</v>
      </c>
      <c r="AJ121">
        <v>0</v>
      </c>
      <c r="AK121">
        <v>12.133333333333329</v>
      </c>
      <c r="AL121">
        <v>4.1600000000000161</v>
      </c>
      <c r="AM121">
        <v>5.3066666666661657</v>
      </c>
      <c r="AN121">
        <v>7.280000000000129</v>
      </c>
      <c r="AO121">
        <v>18.986666666666618</v>
      </c>
      <c r="AP121">
        <v>0.1333333333333333</v>
      </c>
      <c r="AQ121">
        <v>0</v>
      </c>
    </row>
    <row r="122" spans="1:43" x14ac:dyDescent="0.2">
      <c r="A122">
        <v>332</v>
      </c>
      <c r="B122">
        <v>42.5</v>
      </c>
      <c r="C122">
        <v>583.33333333333337</v>
      </c>
      <c r="D122">
        <v>416.66666666666669</v>
      </c>
      <c r="E122">
        <v>583.33333333333337</v>
      </c>
      <c r="F122">
        <f t="shared" si="30"/>
        <v>1000</v>
      </c>
      <c r="G122">
        <f t="shared" si="31"/>
        <v>1000</v>
      </c>
      <c r="H122">
        <v>1583.333333333333</v>
      </c>
      <c r="I122">
        <v>0.41176470588235292</v>
      </c>
      <c r="J122">
        <v>0.29411764705882348</v>
      </c>
      <c r="K122">
        <v>0.41176470588235292</v>
      </c>
      <c r="L122">
        <f t="shared" si="32"/>
        <v>0.70588235294117641</v>
      </c>
      <c r="M122">
        <f t="shared" si="33"/>
        <v>0.70588235294117641</v>
      </c>
      <c r="N122">
        <v>1.117647058823529</v>
      </c>
      <c r="O122">
        <f t="shared" si="21"/>
        <v>3.823529411764709E-2</v>
      </c>
      <c r="P122">
        <f t="shared" si="22"/>
        <v>5.5882352941176494E-2</v>
      </c>
      <c r="Q122">
        <f t="shared" si="23"/>
        <v>0</v>
      </c>
      <c r="R122">
        <f t="shared" si="24"/>
        <v>0.10588235294117643</v>
      </c>
      <c r="S122">
        <f t="shared" si="25"/>
        <v>0.15588235294117636</v>
      </c>
      <c r="T122">
        <f t="shared" si="26"/>
        <v>0.11764705882352899</v>
      </c>
      <c r="U122">
        <f t="shared" si="27"/>
        <v>0.12370435791066485</v>
      </c>
      <c r="V122">
        <f t="shared" si="28"/>
        <v>6.7710967254243207E-2</v>
      </c>
      <c r="W122">
        <f t="shared" si="29"/>
        <v>0.22215132471507842</v>
      </c>
      <c r="X122">
        <v>0</v>
      </c>
      <c r="Y122">
        <v>54</v>
      </c>
      <c r="Z122">
        <v>43.2</v>
      </c>
      <c r="AA122">
        <v>116.4</v>
      </c>
      <c r="AB122">
        <v>3.8047058823527351</v>
      </c>
      <c r="AC122">
        <v>8.3364705882352919</v>
      </c>
      <c r="AD122">
        <v>6.628235294117621</v>
      </c>
      <c r="AE122">
        <v>4.5247058823528077</v>
      </c>
      <c r="AF122">
        <v>23.2941176470583</v>
      </c>
      <c r="AG122">
        <v>134.11764705882351</v>
      </c>
      <c r="AH122">
        <v>157.41176470588181</v>
      </c>
      <c r="AI122">
        <v>180</v>
      </c>
      <c r="AJ122">
        <v>0</v>
      </c>
      <c r="AK122">
        <v>4.5882352941176379</v>
      </c>
      <c r="AL122">
        <v>13.25647058823524</v>
      </c>
      <c r="AM122">
        <v>9.0494117647056154</v>
      </c>
      <c r="AN122">
        <v>7.6094117647054693</v>
      </c>
      <c r="AO122">
        <v>12.084705882352949</v>
      </c>
      <c r="AP122">
        <v>0</v>
      </c>
      <c r="AQ122">
        <v>0</v>
      </c>
    </row>
    <row r="123" spans="1:43" x14ac:dyDescent="0.2">
      <c r="A123">
        <v>332</v>
      </c>
      <c r="B123">
        <v>40</v>
      </c>
      <c r="C123">
        <v>583.33333333333337</v>
      </c>
      <c r="D123">
        <v>416.66666666666669</v>
      </c>
      <c r="E123">
        <v>583.33333333333337</v>
      </c>
      <c r="F123">
        <f t="shared" si="30"/>
        <v>1000</v>
      </c>
      <c r="G123">
        <f t="shared" si="31"/>
        <v>1000</v>
      </c>
      <c r="H123">
        <v>1583.333333333333</v>
      </c>
      <c r="I123">
        <v>0.43750000000000011</v>
      </c>
      <c r="J123">
        <v>0.31250000000000011</v>
      </c>
      <c r="K123">
        <v>0.43750000000000011</v>
      </c>
      <c r="L123">
        <f t="shared" si="32"/>
        <v>0.75</v>
      </c>
      <c r="M123">
        <f t="shared" si="33"/>
        <v>0.75</v>
      </c>
      <c r="N123">
        <v>1.1875</v>
      </c>
      <c r="O123">
        <f t="shared" si="21"/>
        <v>1.24999999999999E-2</v>
      </c>
      <c r="P123">
        <f t="shared" si="22"/>
        <v>3.7499999999999867E-2</v>
      </c>
      <c r="Q123">
        <f t="shared" si="23"/>
        <v>0</v>
      </c>
      <c r="R123">
        <f t="shared" si="24"/>
        <v>0.15000000000000002</v>
      </c>
      <c r="S123">
        <f t="shared" si="25"/>
        <v>0.19999999999999996</v>
      </c>
      <c r="T123">
        <f t="shared" si="26"/>
        <v>0.1875</v>
      </c>
      <c r="U123">
        <f t="shared" si="27"/>
        <v>0.18791620472966133</v>
      </c>
      <c r="V123">
        <f t="shared" si="28"/>
        <v>3.9528470752104583E-2</v>
      </c>
      <c r="W123">
        <f t="shared" si="29"/>
        <v>0.3125</v>
      </c>
      <c r="X123">
        <v>0</v>
      </c>
      <c r="Y123">
        <v>55.2</v>
      </c>
      <c r="Z123">
        <v>22.8</v>
      </c>
      <c r="AA123">
        <v>98.399999999999991</v>
      </c>
      <c r="AB123">
        <v>0.26999999999987068</v>
      </c>
      <c r="AC123">
        <v>1.829999999999927</v>
      </c>
      <c r="AD123">
        <v>13.77000000000003</v>
      </c>
      <c r="AE123">
        <v>9.6300000000000079</v>
      </c>
      <c r="AF123">
        <v>25.499999999999758</v>
      </c>
      <c r="AG123">
        <v>142.5</v>
      </c>
      <c r="AH123">
        <v>167.9999999999998</v>
      </c>
      <c r="AI123">
        <v>180</v>
      </c>
      <c r="AJ123">
        <v>0</v>
      </c>
      <c r="AK123">
        <v>2.7</v>
      </c>
      <c r="AL123">
        <v>27.54000000000006</v>
      </c>
      <c r="AM123">
        <v>19.260000000000019</v>
      </c>
      <c r="AN123">
        <v>0.53999999999974135</v>
      </c>
      <c r="AO123">
        <v>0.95999999999985453</v>
      </c>
      <c r="AP123">
        <v>0</v>
      </c>
      <c r="AQ123">
        <v>0</v>
      </c>
    </row>
    <row r="124" spans="1:43" x14ac:dyDescent="0.2">
      <c r="A124">
        <v>332</v>
      </c>
      <c r="B124">
        <v>37.5</v>
      </c>
      <c r="C124">
        <v>583.33333333333337</v>
      </c>
      <c r="D124">
        <v>416.66666666666669</v>
      </c>
      <c r="E124">
        <v>583.33333333333337</v>
      </c>
      <c r="F124">
        <f t="shared" si="30"/>
        <v>1000</v>
      </c>
      <c r="G124">
        <f t="shared" si="31"/>
        <v>1000</v>
      </c>
      <c r="H124">
        <v>1583.333333333333</v>
      </c>
      <c r="I124">
        <v>0.46666666666666667</v>
      </c>
      <c r="J124">
        <v>0.33333333333333343</v>
      </c>
      <c r="K124">
        <v>0.46666666666666667</v>
      </c>
      <c r="L124">
        <f t="shared" si="32"/>
        <v>0.8</v>
      </c>
      <c r="M124">
        <f t="shared" si="33"/>
        <v>0.8</v>
      </c>
      <c r="N124">
        <v>1.2666666666666671</v>
      </c>
      <c r="O124">
        <f t="shared" si="21"/>
        <v>0</v>
      </c>
      <c r="P124">
        <f t="shared" si="22"/>
        <v>1.6666666666666552E-2</v>
      </c>
      <c r="Q124">
        <f t="shared" si="23"/>
        <v>0</v>
      </c>
      <c r="R124">
        <f t="shared" si="24"/>
        <v>9.9999999999999978E-2</v>
      </c>
      <c r="S124">
        <f t="shared" si="25"/>
        <v>0.14999999999999991</v>
      </c>
      <c r="T124">
        <f t="shared" si="26"/>
        <v>0.23333333333333295</v>
      </c>
      <c r="U124">
        <f t="shared" si="27"/>
        <v>0.23333333333333295</v>
      </c>
      <c r="V124">
        <f t="shared" si="28"/>
        <v>1.6666666666666552E-2</v>
      </c>
      <c r="W124">
        <f t="shared" si="29"/>
        <v>0.29486343354923522</v>
      </c>
      <c r="X124">
        <v>0</v>
      </c>
      <c r="Y124">
        <v>58.8</v>
      </c>
      <c r="Z124">
        <v>20.399999999999999</v>
      </c>
      <c r="AA124">
        <v>70.8</v>
      </c>
      <c r="AB124">
        <v>1.8000000000000811</v>
      </c>
      <c r="AC124">
        <v>1.4</v>
      </c>
      <c r="AD124">
        <v>23.119999999999951</v>
      </c>
      <c r="AE124">
        <v>1.6799999999998061</v>
      </c>
      <c r="AF124">
        <v>27.999999999999801</v>
      </c>
      <c r="AG124">
        <v>152</v>
      </c>
      <c r="AH124">
        <v>179.9999999999998</v>
      </c>
      <c r="AI124">
        <v>180</v>
      </c>
      <c r="AJ124">
        <v>0</v>
      </c>
      <c r="AK124">
        <v>2.8</v>
      </c>
      <c r="AL124">
        <v>32.640000000000057</v>
      </c>
      <c r="AM124">
        <v>3.3599999999996122</v>
      </c>
      <c r="AN124">
        <v>3.6000000000001622</v>
      </c>
      <c r="AO124">
        <v>0</v>
      </c>
      <c r="AP124">
        <v>13.59999999999984</v>
      </c>
      <c r="AQ124">
        <v>0</v>
      </c>
    </row>
    <row r="125" spans="1:43" x14ac:dyDescent="0.2">
      <c r="A125">
        <v>332</v>
      </c>
      <c r="B125">
        <v>35</v>
      </c>
      <c r="C125">
        <v>583.33333333333337</v>
      </c>
      <c r="D125">
        <v>416.66666666666669</v>
      </c>
      <c r="E125">
        <v>583.33333333333337</v>
      </c>
      <c r="F125">
        <f t="shared" si="30"/>
        <v>1000</v>
      </c>
      <c r="G125">
        <f t="shared" si="31"/>
        <v>1000</v>
      </c>
      <c r="H125">
        <v>1583.333333333333</v>
      </c>
      <c r="I125">
        <v>0.5</v>
      </c>
      <c r="J125">
        <v>0.35714285714285721</v>
      </c>
      <c r="K125">
        <v>0.5</v>
      </c>
      <c r="L125">
        <f t="shared" si="32"/>
        <v>0.8571428571428571</v>
      </c>
      <c r="M125">
        <f t="shared" si="33"/>
        <v>0.8571428571428571</v>
      </c>
      <c r="N125">
        <v>1.357142857142857</v>
      </c>
      <c r="O125">
        <f t="shared" si="21"/>
        <v>0</v>
      </c>
      <c r="P125">
        <f t="shared" si="22"/>
        <v>0</v>
      </c>
      <c r="Q125">
        <f t="shared" si="23"/>
        <v>0</v>
      </c>
      <c r="R125">
        <f t="shared" si="24"/>
        <v>4.2857142857142927E-2</v>
      </c>
      <c r="S125">
        <f t="shared" si="25"/>
        <v>9.285714285714286E-2</v>
      </c>
      <c r="T125">
        <f t="shared" si="26"/>
        <v>0.14285714285714302</v>
      </c>
      <c r="U125">
        <f t="shared" si="27"/>
        <v>0.14285714285714302</v>
      </c>
      <c r="V125">
        <f t="shared" si="28"/>
        <v>0</v>
      </c>
      <c r="W125">
        <f t="shared" si="29"/>
        <v>0.17569105537498364</v>
      </c>
      <c r="X125">
        <v>0</v>
      </c>
      <c r="Y125">
        <v>48</v>
      </c>
      <c r="Z125">
        <v>4.8</v>
      </c>
      <c r="AA125">
        <v>64.8</v>
      </c>
      <c r="AB125">
        <v>6.0000000000000409</v>
      </c>
      <c r="AC125">
        <v>0.17142857142854259</v>
      </c>
      <c r="AD125">
        <v>10.9714285714285</v>
      </c>
      <c r="AE125">
        <v>0</v>
      </c>
      <c r="AF125">
        <v>17.142857142856968</v>
      </c>
      <c r="AG125">
        <v>162.85714285714289</v>
      </c>
      <c r="AH125">
        <v>179.9999999999998</v>
      </c>
      <c r="AI125">
        <v>180</v>
      </c>
      <c r="AJ125">
        <v>0</v>
      </c>
      <c r="AK125">
        <v>0</v>
      </c>
      <c r="AL125">
        <v>21.942857142857001</v>
      </c>
      <c r="AM125">
        <v>0</v>
      </c>
      <c r="AN125">
        <v>12.00000000000008</v>
      </c>
      <c r="AO125">
        <v>0.34285714285708507</v>
      </c>
      <c r="AP125">
        <v>0</v>
      </c>
      <c r="AQ125">
        <v>0</v>
      </c>
    </row>
    <row r="126" spans="1:43" x14ac:dyDescent="0.2">
      <c r="A126">
        <v>332</v>
      </c>
      <c r="B126">
        <v>32.5</v>
      </c>
      <c r="C126">
        <v>583.33333333333337</v>
      </c>
      <c r="D126">
        <v>416.66666666666669</v>
      </c>
      <c r="E126">
        <v>583.33333333333337</v>
      </c>
      <c r="F126">
        <f t="shared" si="30"/>
        <v>1000</v>
      </c>
      <c r="G126">
        <f t="shared" si="31"/>
        <v>1000</v>
      </c>
      <c r="H126">
        <v>1583.333333333333</v>
      </c>
      <c r="I126">
        <v>0.53846153846153855</v>
      </c>
      <c r="J126">
        <v>0.38461538461538458</v>
      </c>
      <c r="K126">
        <v>0.53846153846153855</v>
      </c>
      <c r="L126">
        <f t="shared" si="32"/>
        <v>0.92307692307692313</v>
      </c>
      <c r="M126">
        <f t="shared" si="33"/>
        <v>0.92307692307692313</v>
      </c>
      <c r="N126">
        <v>1.4615384615384619</v>
      </c>
      <c r="O126">
        <f t="shared" si="21"/>
        <v>0</v>
      </c>
      <c r="P126">
        <f t="shared" si="22"/>
        <v>0</v>
      </c>
      <c r="Q126">
        <f t="shared" si="23"/>
        <v>0</v>
      </c>
      <c r="R126">
        <f t="shared" si="24"/>
        <v>0</v>
      </c>
      <c r="S126">
        <f t="shared" si="25"/>
        <v>2.6923076923076827E-2</v>
      </c>
      <c r="T126">
        <f t="shared" si="26"/>
        <v>3.8461538461538103E-2</v>
      </c>
      <c r="U126">
        <f t="shared" si="27"/>
        <v>3.8461538461538103E-2</v>
      </c>
      <c r="V126">
        <f t="shared" si="28"/>
        <v>0</v>
      </c>
      <c r="W126">
        <f t="shared" si="29"/>
        <v>4.6948290829744659E-2</v>
      </c>
      <c r="X126">
        <v>0</v>
      </c>
      <c r="Y126">
        <v>52.8</v>
      </c>
      <c r="Z126">
        <v>97.2</v>
      </c>
      <c r="AA126">
        <v>56.4</v>
      </c>
      <c r="AB126">
        <v>1.2923076923077641</v>
      </c>
      <c r="AC126">
        <v>2.8153846153846338</v>
      </c>
      <c r="AD126">
        <v>0</v>
      </c>
      <c r="AE126">
        <v>0.5076923076923574</v>
      </c>
      <c r="AF126">
        <v>4.6153846153845848</v>
      </c>
      <c r="AG126">
        <v>175.38461538461539</v>
      </c>
      <c r="AH126">
        <v>180</v>
      </c>
      <c r="AI126">
        <v>180</v>
      </c>
      <c r="AJ126">
        <v>0</v>
      </c>
      <c r="AK126">
        <v>0</v>
      </c>
      <c r="AL126">
        <v>0</v>
      </c>
      <c r="AM126">
        <v>1.015384615384715</v>
      </c>
      <c r="AN126">
        <v>2.5846153846155282</v>
      </c>
      <c r="AO126">
        <v>5.6307692307692676</v>
      </c>
      <c r="AP126">
        <v>0</v>
      </c>
      <c r="AQ126">
        <v>0</v>
      </c>
    </row>
    <row r="127" spans="1:43" x14ac:dyDescent="0.2">
      <c r="A127">
        <v>332</v>
      </c>
      <c r="B127">
        <v>30</v>
      </c>
      <c r="C127">
        <v>583.33333333333337</v>
      </c>
      <c r="D127">
        <v>416.66666666666669</v>
      </c>
      <c r="E127">
        <v>583.33333333333337</v>
      </c>
      <c r="F127">
        <f t="shared" si="30"/>
        <v>1000</v>
      </c>
      <c r="G127">
        <f t="shared" si="31"/>
        <v>1000</v>
      </c>
      <c r="H127">
        <v>1583.333333333333</v>
      </c>
      <c r="I127">
        <v>0.58333333333333337</v>
      </c>
      <c r="J127">
        <v>0.41666666666666669</v>
      </c>
      <c r="K127">
        <v>0.58333333333333337</v>
      </c>
      <c r="L127">
        <f t="shared" si="32"/>
        <v>1</v>
      </c>
      <c r="M127">
        <f t="shared" si="33"/>
        <v>1</v>
      </c>
      <c r="N127">
        <v>1.583333333333333</v>
      </c>
      <c r="O127">
        <f t="shared" si="21"/>
        <v>3.3333333333333326E-2</v>
      </c>
      <c r="P127">
        <f t="shared" si="22"/>
        <v>0</v>
      </c>
      <c r="Q127">
        <f t="shared" si="23"/>
        <v>0</v>
      </c>
      <c r="R127">
        <f t="shared" si="24"/>
        <v>0</v>
      </c>
      <c r="S127">
        <f t="shared" si="25"/>
        <v>0</v>
      </c>
      <c r="T127">
        <f t="shared" si="26"/>
        <v>8.3333333333333037E-2</v>
      </c>
      <c r="U127">
        <f t="shared" si="27"/>
        <v>8.9752746785574794E-2</v>
      </c>
      <c r="V127">
        <f t="shared" si="28"/>
        <v>3.3333333333333326E-2</v>
      </c>
      <c r="W127">
        <f t="shared" si="29"/>
        <v>8.3333333333333037E-2</v>
      </c>
      <c r="X127">
        <v>0</v>
      </c>
      <c r="Y127">
        <v>40.799999999999997</v>
      </c>
      <c r="Z127">
        <v>96</v>
      </c>
      <c r="AA127">
        <v>52.8</v>
      </c>
      <c r="AB127">
        <v>0.21466666666654219</v>
      </c>
      <c r="AC127">
        <v>7.2253333333331993</v>
      </c>
      <c r="AD127">
        <v>1.585333333333296</v>
      </c>
      <c r="AE127">
        <v>0.97466666666667956</v>
      </c>
      <c r="AF127">
        <v>9.9999999999998295</v>
      </c>
      <c r="AG127">
        <v>190</v>
      </c>
      <c r="AH127">
        <v>199.9999999999998</v>
      </c>
      <c r="AI127">
        <v>180</v>
      </c>
      <c r="AJ127">
        <v>0</v>
      </c>
      <c r="AK127">
        <v>13.759999999999939</v>
      </c>
      <c r="AL127">
        <v>1.4906666666666251</v>
      </c>
      <c r="AM127">
        <v>1.9493333333333589</v>
      </c>
      <c r="AN127">
        <v>0.42933333333308432</v>
      </c>
      <c r="AO127">
        <v>0.69066666666646293</v>
      </c>
      <c r="AP127">
        <v>1.679999999999968</v>
      </c>
      <c r="AQ127">
        <v>0</v>
      </c>
    </row>
    <row r="128" spans="1:43" x14ac:dyDescent="0.2">
      <c r="A128">
        <v>332</v>
      </c>
      <c r="B128">
        <v>27.5</v>
      </c>
      <c r="C128">
        <v>583.33333333333337</v>
      </c>
      <c r="D128">
        <v>416.66666666666669</v>
      </c>
      <c r="E128">
        <v>583.33333333333337</v>
      </c>
      <c r="F128">
        <f t="shared" si="30"/>
        <v>1000</v>
      </c>
      <c r="G128">
        <f t="shared" si="31"/>
        <v>1000</v>
      </c>
      <c r="H128">
        <v>1583.333333333333</v>
      </c>
      <c r="I128">
        <v>0.63636363636363646</v>
      </c>
      <c r="J128">
        <v>0.45454545454545459</v>
      </c>
      <c r="K128">
        <v>0.63636363636363646</v>
      </c>
      <c r="L128">
        <f t="shared" si="32"/>
        <v>1.0909090909090911</v>
      </c>
      <c r="M128">
        <f t="shared" si="33"/>
        <v>1.0909090909090911</v>
      </c>
      <c r="N128">
        <v>1.727272727272728</v>
      </c>
      <c r="O128">
        <f t="shared" si="21"/>
        <v>8.636363636363642E-2</v>
      </c>
      <c r="P128">
        <f t="shared" si="22"/>
        <v>0</v>
      </c>
      <c r="Q128">
        <f t="shared" si="23"/>
        <v>3.6363636363636487E-2</v>
      </c>
      <c r="R128">
        <f t="shared" si="24"/>
        <v>0</v>
      </c>
      <c r="S128">
        <f t="shared" si="25"/>
        <v>4.0909090909091048E-2</v>
      </c>
      <c r="T128">
        <f t="shared" si="26"/>
        <v>0.22727272727272796</v>
      </c>
      <c r="U128">
        <f t="shared" si="27"/>
        <v>0.24312871127847943</v>
      </c>
      <c r="V128">
        <f t="shared" si="28"/>
        <v>9.3706946036765118E-2</v>
      </c>
      <c r="W128">
        <f t="shared" si="29"/>
        <v>0.23092519628873776</v>
      </c>
      <c r="X128">
        <v>0</v>
      </c>
      <c r="Y128">
        <v>32.4</v>
      </c>
      <c r="Z128">
        <v>85.2</v>
      </c>
      <c r="AA128">
        <v>40.799999999999997</v>
      </c>
      <c r="AB128">
        <v>0.80747107437996923</v>
      </c>
      <c r="AC128">
        <v>13.62525619834709</v>
      </c>
      <c r="AD128">
        <v>2.3890909090908989</v>
      </c>
      <c r="AE128">
        <v>10.450909090909089</v>
      </c>
      <c r="AF128">
        <v>27.272727272726978</v>
      </c>
      <c r="AG128">
        <v>207.27272727272731</v>
      </c>
      <c r="AH128">
        <v>234.54545454545431</v>
      </c>
      <c r="AI128">
        <v>180</v>
      </c>
      <c r="AJ128">
        <v>0</v>
      </c>
      <c r="AK128">
        <v>25.570909090908959</v>
      </c>
      <c r="AL128">
        <v>0</v>
      </c>
      <c r="AM128">
        <v>20.901818181818172</v>
      </c>
      <c r="AN128">
        <v>1.614942148759938</v>
      </c>
      <c r="AO128">
        <v>1.679603305785228</v>
      </c>
      <c r="AP128">
        <v>4.7781818181817979</v>
      </c>
      <c r="AQ128">
        <v>0</v>
      </c>
    </row>
    <row r="129" spans="1:43" x14ac:dyDescent="0.2">
      <c r="A129">
        <v>332</v>
      </c>
      <c r="B129">
        <v>25</v>
      </c>
      <c r="C129">
        <v>583.33333333333337</v>
      </c>
      <c r="D129">
        <v>416.66666666666669</v>
      </c>
      <c r="E129">
        <v>583.33333333333337</v>
      </c>
      <c r="F129">
        <f t="shared" si="30"/>
        <v>1000</v>
      </c>
      <c r="G129">
        <f t="shared" si="31"/>
        <v>1000</v>
      </c>
      <c r="H129">
        <v>1583.333333333333</v>
      </c>
      <c r="I129">
        <v>0.70000000000000007</v>
      </c>
      <c r="J129">
        <v>0.5</v>
      </c>
      <c r="K129">
        <v>0.70000000000000007</v>
      </c>
      <c r="L129">
        <f t="shared" si="32"/>
        <v>1.2</v>
      </c>
      <c r="M129">
        <f t="shared" si="33"/>
        <v>1.2</v>
      </c>
      <c r="N129">
        <v>1.9</v>
      </c>
      <c r="O129">
        <f t="shared" si="21"/>
        <v>0.15000000000000002</v>
      </c>
      <c r="P129">
        <f t="shared" si="22"/>
        <v>0</v>
      </c>
      <c r="Q129">
        <f t="shared" si="23"/>
        <v>0.10000000000000009</v>
      </c>
      <c r="R129">
        <f t="shared" si="24"/>
        <v>9.999999999999995E-2</v>
      </c>
      <c r="S129">
        <f t="shared" si="25"/>
        <v>0.14999999999999997</v>
      </c>
      <c r="T129">
        <f t="shared" si="26"/>
        <v>0.10000000000000009</v>
      </c>
      <c r="U129">
        <f t="shared" si="27"/>
        <v>0.18027756377319953</v>
      </c>
      <c r="V129">
        <f t="shared" si="28"/>
        <v>0.18027756377319953</v>
      </c>
      <c r="W129">
        <f t="shared" si="29"/>
        <v>0.20615528128088301</v>
      </c>
      <c r="X129">
        <v>0</v>
      </c>
      <c r="Y129">
        <v>70.8</v>
      </c>
      <c r="Z129">
        <v>21.6</v>
      </c>
      <c r="AA129">
        <v>106.8</v>
      </c>
      <c r="AB129">
        <v>16.2</v>
      </c>
      <c r="AC129">
        <v>12.11999999999999</v>
      </c>
      <c r="AD129">
        <v>7.6679999999999078</v>
      </c>
      <c r="AE129">
        <v>1.199999999969603E-2</v>
      </c>
      <c r="AF129">
        <v>35.999999999999432</v>
      </c>
      <c r="AG129">
        <v>228</v>
      </c>
      <c r="AH129">
        <v>263.99999999999937</v>
      </c>
      <c r="AI129">
        <v>180</v>
      </c>
      <c r="AJ129">
        <v>0</v>
      </c>
      <c r="AK129">
        <v>0.95999999999993535</v>
      </c>
      <c r="AL129">
        <v>0.21599999999994501</v>
      </c>
      <c r="AM129">
        <v>2.3999999999392049E-2</v>
      </c>
      <c r="AN129">
        <v>32.4</v>
      </c>
      <c r="AO129">
        <v>23.280000000000051</v>
      </c>
      <c r="AP129">
        <v>15.11999999999987</v>
      </c>
      <c r="AQ129">
        <v>0</v>
      </c>
    </row>
    <row r="130" spans="1:43" x14ac:dyDescent="0.2">
      <c r="A130">
        <v>332</v>
      </c>
      <c r="B130">
        <v>22.5</v>
      </c>
      <c r="C130">
        <v>583.33333333333337</v>
      </c>
      <c r="D130">
        <v>416.66666666666669</v>
      </c>
      <c r="E130">
        <v>583.33333333333337</v>
      </c>
      <c r="F130">
        <f t="shared" ref="F130:F157" si="34">C130+D130</f>
        <v>1000</v>
      </c>
      <c r="G130">
        <f t="shared" ref="G130:G157" si="35">D130+E130</f>
        <v>1000</v>
      </c>
      <c r="H130">
        <v>1583.333333333333</v>
      </c>
      <c r="I130">
        <v>0.77777777777777779</v>
      </c>
      <c r="J130">
        <v>0.55555555555555558</v>
      </c>
      <c r="K130">
        <v>0.77777777777777779</v>
      </c>
      <c r="L130">
        <f t="shared" ref="L130:L157" si="36">F130/(120*$B130*1000/3600)</f>
        <v>1.3333333333333333</v>
      </c>
      <c r="M130">
        <f t="shared" ref="M130:M157" si="37">G130/(120*$B130*1000/3600)</f>
        <v>1.3333333333333333</v>
      </c>
      <c r="N130">
        <v>2.1111111111111112</v>
      </c>
      <c r="O130">
        <f t="shared" si="21"/>
        <v>0.17222222222222217</v>
      </c>
      <c r="P130">
        <f t="shared" si="22"/>
        <v>0</v>
      </c>
      <c r="Q130">
        <f t="shared" si="23"/>
        <v>0.12222222222222223</v>
      </c>
      <c r="R130">
        <f t="shared" si="24"/>
        <v>6.6666666666666763E-2</v>
      </c>
      <c r="S130">
        <f t="shared" si="25"/>
        <v>0.11666666666666675</v>
      </c>
      <c r="T130">
        <f t="shared" si="26"/>
        <v>0.11111111111111116</v>
      </c>
      <c r="U130">
        <f t="shared" si="27"/>
        <v>0.20495407495218573</v>
      </c>
      <c r="V130">
        <f t="shared" si="28"/>
        <v>0.21118419787498011</v>
      </c>
      <c r="W130">
        <f t="shared" si="29"/>
        <v>0.17435949807194698</v>
      </c>
      <c r="X130">
        <v>0</v>
      </c>
      <c r="Y130">
        <v>32.4</v>
      </c>
      <c r="Z130">
        <v>64.8</v>
      </c>
      <c r="AA130">
        <v>109.2</v>
      </c>
      <c r="AB130">
        <v>2.8666666666668279</v>
      </c>
      <c r="AC130">
        <v>21.173333333333201</v>
      </c>
      <c r="AD130">
        <v>2.2871111111111131</v>
      </c>
      <c r="AE130">
        <v>15.006222222222281</v>
      </c>
      <c r="AF130">
        <v>41.333333333332916</v>
      </c>
      <c r="AG130">
        <v>253.33333333333329</v>
      </c>
      <c r="AH130">
        <v>294.66666666666629</v>
      </c>
      <c r="AI130">
        <v>180</v>
      </c>
      <c r="AJ130">
        <v>0</v>
      </c>
      <c r="AK130">
        <v>39.146666666666547</v>
      </c>
      <c r="AL130">
        <v>4.5742222222222253</v>
      </c>
      <c r="AM130">
        <v>30.012444444444551</v>
      </c>
      <c r="AN130">
        <v>5.7333333333336567</v>
      </c>
      <c r="AO130">
        <v>3.199999999999839</v>
      </c>
      <c r="AP130">
        <v>0</v>
      </c>
      <c r="AQ130">
        <v>0</v>
      </c>
    </row>
    <row r="131" spans="1:43" x14ac:dyDescent="0.2">
      <c r="A131">
        <v>332</v>
      </c>
      <c r="B131">
        <v>20</v>
      </c>
      <c r="C131">
        <v>583.33333333333337</v>
      </c>
      <c r="D131">
        <v>416.66666666666669</v>
      </c>
      <c r="E131">
        <v>583.33333333333337</v>
      </c>
      <c r="F131">
        <f t="shared" si="34"/>
        <v>1000</v>
      </c>
      <c r="G131">
        <f t="shared" si="35"/>
        <v>1000</v>
      </c>
      <c r="H131">
        <v>1583.333333333333</v>
      </c>
      <c r="I131">
        <v>0.87500000000000011</v>
      </c>
      <c r="J131">
        <v>0.62500000000000011</v>
      </c>
      <c r="K131">
        <v>0.87500000000000011</v>
      </c>
      <c r="L131">
        <f t="shared" si="36"/>
        <v>1.5</v>
      </c>
      <c r="M131">
        <f t="shared" si="37"/>
        <v>1.5</v>
      </c>
      <c r="N131">
        <v>2.375</v>
      </c>
      <c r="O131">
        <f t="shared" ref="O131:O157" si="38">_xlfn.LET(_xlpm.x,MOD(I131,1),IF(OR(AND(_xlpm.x&gt;=0.45,_xlpm.x&lt;=0.55),_xlpm.x&gt;=0.95,_xlpm.x&lt;=0.05),0,IF(_xlpm.x&lt;0.45,MIN(0.45-_xlpm.x,_xlpm.x-0.05),MIN(_xlpm.x-0.55,0.95-_xlpm.x))))</f>
        <v>7.4999999999999845E-2</v>
      </c>
      <c r="P131">
        <f t="shared" ref="P131:P157" si="39">_xlfn.LET(_xlpm.x,MOD(J131,1),IF(OR(AND(_xlpm.x&gt;=0.35,_xlpm.x&lt;=0.65),_xlpm.x&gt;=0.85,_xlpm.x&lt;=0.15),0,IF(_xlpm.x&lt;0.35,MIN(0.35-_xlpm.x,_xlpm.x-0.15),MIN(_xlpm.x-0.65,0.85-_xlpm.x))))</f>
        <v>0</v>
      </c>
      <c r="Q131">
        <f t="shared" ref="Q131:Q157" si="40">_xlfn.LET(_xlpm.x,MOD(K131,1),IF(OR(AND(_xlpm.x&gt;=0.4,_xlpm.x&lt;=0.6),_xlpm.x&gt;=0.9,_xlpm.x&lt;=0.1),0,IF(_xlpm.x&lt;0.4,MIN(0.4-_xlpm.x,_xlpm.x-0.1),MIN(_xlpm.x-0.6,0.9-_xlpm.x))))</f>
        <v>2.4999999999999911E-2</v>
      </c>
      <c r="R131">
        <f t="shared" ref="R131:R157" si="41">_xlfn.LET(_xlpm.x,MOD(L131,1),IF(OR(AND(_xlpm.x&gt;=0.4,_xlpm.x&lt;=0.6),_xlpm.x&gt;=0.9,_xlpm.x&lt;=0.1),0,IF(_xlpm.x&lt;0.4,MIN(0.4-_xlpm.x,_xlpm.x-0.1),MIN(_xlpm.x-0.6,0.9-_xlpm.x))))</f>
        <v>0</v>
      </c>
      <c r="S131">
        <f t="shared" ref="S131:S157" si="42">_xlfn.LET(_xlpm.x,MOD(M131,1),IF(OR(AND(_xlpm.x&gt;=0.45,_xlpm.x&lt;=0.55),_xlpm.x&gt;=0.95,_xlpm.x&lt;=0.05),0,IF(_xlpm.x&lt;0.45,MIN(0.45-_xlpm.x,_xlpm.x-0.05),MIN(_xlpm.x-0.55,0.95-_xlpm.x))))</f>
        <v>0</v>
      </c>
      <c r="T131">
        <f t="shared" ref="T131:T157" si="43">_xlfn.LET(_xlpm.x,MOD(N131,1),MIN(MIN(_xlpm.x,1-_xlpm.x),ABS(_xlpm.x-0.5)))</f>
        <v>0.125</v>
      </c>
      <c r="U131">
        <f t="shared" ref="U131:U157" si="44">SQRT(SUMSQ(O131,T131))</f>
        <v>0.14577379737113244</v>
      </c>
      <c r="V131">
        <f t="shared" ref="V131:V157" si="45">SQRT(SUMSQ(O131:Q131))</f>
        <v>7.9056941504209305E-2</v>
      </c>
      <c r="W131">
        <f t="shared" ref="W131:W157" si="46">SQRT(SUMSQ(R131:T131))</f>
        <v>0.125</v>
      </c>
      <c r="X131">
        <v>0</v>
      </c>
      <c r="Y131">
        <v>4.8</v>
      </c>
      <c r="Z131">
        <v>56.4</v>
      </c>
      <c r="AA131">
        <v>64.8</v>
      </c>
      <c r="AB131">
        <v>1.8000000000000811</v>
      </c>
      <c r="AC131">
        <v>9.8999999999999186</v>
      </c>
      <c r="AD131">
        <v>3.3</v>
      </c>
      <c r="AE131">
        <v>-1.6168794698185389E-13</v>
      </c>
      <c r="AF131">
        <v>14.999999999999741</v>
      </c>
      <c r="AG131">
        <v>285</v>
      </c>
      <c r="AH131">
        <v>299.99999999999977</v>
      </c>
      <c r="AI131">
        <v>180</v>
      </c>
      <c r="AJ131">
        <v>0</v>
      </c>
      <c r="AK131">
        <v>19.799999999999841</v>
      </c>
      <c r="AL131">
        <v>0</v>
      </c>
      <c r="AM131">
        <v>-3.2337589396370778E-13</v>
      </c>
      <c r="AN131">
        <v>3.6000000000001622</v>
      </c>
      <c r="AO131">
        <v>0</v>
      </c>
      <c r="AP131">
        <v>6.6</v>
      </c>
      <c r="AQ131">
        <v>0</v>
      </c>
    </row>
    <row r="132" spans="1:43" x14ac:dyDescent="0.2">
      <c r="A132">
        <v>333</v>
      </c>
      <c r="B132">
        <v>50</v>
      </c>
      <c r="C132">
        <v>750</v>
      </c>
      <c r="D132">
        <v>416.66666666666669</v>
      </c>
      <c r="E132">
        <v>750</v>
      </c>
      <c r="F132">
        <f t="shared" si="34"/>
        <v>1166.6666666666667</v>
      </c>
      <c r="G132">
        <f t="shared" si="35"/>
        <v>1166.6666666666667</v>
      </c>
      <c r="H132">
        <v>1916.666666666667</v>
      </c>
      <c r="I132">
        <v>0.45</v>
      </c>
      <c r="J132">
        <v>0.25</v>
      </c>
      <c r="K132">
        <v>0.45</v>
      </c>
      <c r="L132">
        <f t="shared" si="36"/>
        <v>0.70000000000000007</v>
      </c>
      <c r="M132">
        <f t="shared" si="37"/>
        <v>0.70000000000000007</v>
      </c>
      <c r="N132">
        <v>1.1499999999999999</v>
      </c>
      <c r="O132">
        <f t="shared" si="38"/>
        <v>0</v>
      </c>
      <c r="P132">
        <f t="shared" si="39"/>
        <v>9.9999999999999978E-2</v>
      </c>
      <c r="Q132">
        <f t="shared" si="40"/>
        <v>0</v>
      </c>
      <c r="R132">
        <f t="shared" si="41"/>
        <v>0.10000000000000009</v>
      </c>
      <c r="S132">
        <f t="shared" si="42"/>
        <v>0.15000000000000002</v>
      </c>
      <c r="T132">
        <f t="shared" si="43"/>
        <v>0.14999999999999991</v>
      </c>
      <c r="U132">
        <f t="shared" si="44"/>
        <v>0.14999999999999991</v>
      </c>
      <c r="V132">
        <f t="shared" si="45"/>
        <v>9.9999999999999978E-2</v>
      </c>
      <c r="W132">
        <f t="shared" si="46"/>
        <v>0.23452078799117146</v>
      </c>
      <c r="X132">
        <v>0</v>
      </c>
      <c r="Y132">
        <v>54</v>
      </c>
      <c r="Z132">
        <v>25.2</v>
      </c>
      <c r="AA132">
        <v>103.2</v>
      </c>
      <c r="AB132">
        <v>0.11999999999995151</v>
      </c>
      <c r="AC132">
        <v>0.47999999999996767</v>
      </c>
      <c r="AD132">
        <v>10.43999999999998</v>
      </c>
      <c r="AE132">
        <v>6.959999999999976</v>
      </c>
      <c r="AF132">
        <v>17.999999999999929</v>
      </c>
      <c r="AG132">
        <v>138</v>
      </c>
      <c r="AH132">
        <v>155.99999999999989</v>
      </c>
      <c r="AI132">
        <v>180</v>
      </c>
      <c r="AJ132">
        <v>0</v>
      </c>
      <c r="AK132">
        <v>0</v>
      </c>
      <c r="AL132">
        <v>20.879999999999971</v>
      </c>
      <c r="AM132">
        <v>13.91999999999995</v>
      </c>
      <c r="AN132">
        <v>0.23999999999990301</v>
      </c>
      <c r="AO132">
        <v>0.95999999999993535</v>
      </c>
      <c r="AP132">
        <v>0</v>
      </c>
      <c r="AQ132">
        <v>0</v>
      </c>
    </row>
    <row r="133" spans="1:43" x14ac:dyDescent="0.2">
      <c r="A133">
        <v>333</v>
      </c>
      <c r="B133">
        <v>47.5</v>
      </c>
      <c r="C133">
        <v>750</v>
      </c>
      <c r="D133">
        <v>416.66666666666669</v>
      </c>
      <c r="E133">
        <v>750</v>
      </c>
      <c r="F133">
        <f t="shared" si="34"/>
        <v>1166.6666666666667</v>
      </c>
      <c r="G133">
        <f t="shared" si="35"/>
        <v>1166.6666666666667</v>
      </c>
      <c r="H133">
        <v>1916.666666666667</v>
      </c>
      <c r="I133">
        <v>0.47368421052631582</v>
      </c>
      <c r="J133">
        <v>0.26315789473684209</v>
      </c>
      <c r="K133">
        <v>0.47368421052631582</v>
      </c>
      <c r="L133">
        <f t="shared" si="36"/>
        <v>0.73684210526315796</v>
      </c>
      <c r="M133">
        <f t="shared" si="37"/>
        <v>0.73684210526315796</v>
      </c>
      <c r="N133">
        <v>1.2105263157894739</v>
      </c>
      <c r="O133">
        <f t="shared" si="38"/>
        <v>0</v>
      </c>
      <c r="P133">
        <f t="shared" si="39"/>
        <v>8.6842105263157887E-2</v>
      </c>
      <c r="Q133">
        <f t="shared" si="40"/>
        <v>0</v>
      </c>
      <c r="R133">
        <f t="shared" si="41"/>
        <v>0.13684210526315799</v>
      </c>
      <c r="S133">
        <f t="shared" si="42"/>
        <v>0.18684210526315792</v>
      </c>
      <c r="T133">
        <f t="shared" si="43"/>
        <v>0.21052631578947389</v>
      </c>
      <c r="U133">
        <f t="shared" si="44"/>
        <v>0.21052631578947389</v>
      </c>
      <c r="V133">
        <f t="shared" si="45"/>
        <v>8.6842105263157887E-2</v>
      </c>
      <c r="W133">
        <f t="shared" si="46"/>
        <v>0.31298093186632231</v>
      </c>
      <c r="X133">
        <v>0</v>
      </c>
      <c r="Y133">
        <v>51.6</v>
      </c>
      <c r="Z133">
        <v>16.8</v>
      </c>
      <c r="AA133">
        <v>97.2</v>
      </c>
      <c r="AB133">
        <v>0.42315789473699023</v>
      </c>
      <c r="AC133">
        <v>0.80842105263145636</v>
      </c>
      <c r="AD133">
        <v>14.28631578947372</v>
      </c>
      <c r="AE133">
        <v>9.7452631578946445</v>
      </c>
      <c r="AF133">
        <v>25.263157894736779</v>
      </c>
      <c r="AG133">
        <v>145.26315789473679</v>
      </c>
      <c r="AH133">
        <v>170.52631578947361</v>
      </c>
      <c r="AI133">
        <v>180</v>
      </c>
      <c r="AJ133">
        <v>0</v>
      </c>
      <c r="AK133">
        <v>0</v>
      </c>
      <c r="AL133">
        <v>28.572631578947441</v>
      </c>
      <c r="AM133">
        <v>19.490526315789289</v>
      </c>
      <c r="AN133">
        <v>0.84631578947398034</v>
      </c>
      <c r="AO133">
        <v>1.6168421052629129</v>
      </c>
      <c r="AP133">
        <v>0</v>
      </c>
      <c r="AQ133">
        <v>0</v>
      </c>
    </row>
    <row r="134" spans="1:43" x14ac:dyDescent="0.2">
      <c r="A134">
        <v>333</v>
      </c>
      <c r="B134">
        <v>45</v>
      </c>
      <c r="C134">
        <v>750</v>
      </c>
      <c r="D134">
        <v>416.66666666666669</v>
      </c>
      <c r="E134">
        <v>750</v>
      </c>
      <c r="F134">
        <f t="shared" si="34"/>
        <v>1166.6666666666667</v>
      </c>
      <c r="G134">
        <f t="shared" si="35"/>
        <v>1166.6666666666667</v>
      </c>
      <c r="H134">
        <v>1916.666666666667</v>
      </c>
      <c r="I134">
        <v>0.5</v>
      </c>
      <c r="J134">
        <v>0.27777777777777779</v>
      </c>
      <c r="K134">
        <v>0.5</v>
      </c>
      <c r="L134">
        <f t="shared" si="36"/>
        <v>0.77777777777777779</v>
      </c>
      <c r="M134">
        <f t="shared" si="37"/>
        <v>0.77777777777777779</v>
      </c>
      <c r="N134">
        <v>1.2777777777777779</v>
      </c>
      <c r="O134">
        <f t="shared" si="38"/>
        <v>0</v>
      </c>
      <c r="P134">
        <f t="shared" si="39"/>
        <v>7.2222222222222188E-2</v>
      </c>
      <c r="Q134">
        <f t="shared" si="40"/>
        <v>0</v>
      </c>
      <c r="R134">
        <f t="shared" si="41"/>
        <v>0.12222222222222223</v>
      </c>
      <c r="S134">
        <f t="shared" si="42"/>
        <v>0.17222222222222217</v>
      </c>
      <c r="T134">
        <f t="shared" si="43"/>
        <v>0.2222222222222221</v>
      </c>
      <c r="U134">
        <f t="shared" si="44"/>
        <v>0.2222222222222221</v>
      </c>
      <c r="V134">
        <f t="shared" si="45"/>
        <v>7.2222222222222188E-2</v>
      </c>
      <c r="W134">
        <f t="shared" si="46"/>
        <v>0.30656399247380867</v>
      </c>
      <c r="X134">
        <v>0</v>
      </c>
      <c r="Y134">
        <v>60</v>
      </c>
      <c r="Z134">
        <v>14.4</v>
      </c>
      <c r="AA134">
        <v>70.8</v>
      </c>
      <c r="AB134">
        <v>0</v>
      </c>
      <c r="AC134">
        <v>6.1333333333333337</v>
      </c>
      <c r="AD134">
        <v>18.279999999999969</v>
      </c>
      <c r="AE134">
        <v>2.253333333333325</v>
      </c>
      <c r="AF134">
        <v>26.666666666666369</v>
      </c>
      <c r="AG134">
        <v>153.33333333333329</v>
      </c>
      <c r="AH134">
        <v>179.99999999999969</v>
      </c>
      <c r="AI134">
        <v>180</v>
      </c>
      <c r="AJ134">
        <v>0</v>
      </c>
      <c r="AK134">
        <v>0</v>
      </c>
      <c r="AL134">
        <v>32.9600000000001</v>
      </c>
      <c r="AM134">
        <v>4.5066666666666508</v>
      </c>
      <c r="AN134">
        <v>0</v>
      </c>
      <c r="AO134">
        <v>12.266666666666669</v>
      </c>
      <c r="AP134">
        <v>3.599999999999838</v>
      </c>
      <c r="AQ134">
        <v>0</v>
      </c>
    </row>
    <row r="135" spans="1:43" x14ac:dyDescent="0.2">
      <c r="A135">
        <v>333</v>
      </c>
      <c r="B135">
        <v>42.5</v>
      </c>
      <c r="C135">
        <v>750</v>
      </c>
      <c r="D135">
        <v>416.66666666666669</v>
      </c>
      <c r="E135">
        <v>750</v>
      </c>
      <c r="F135">
        <f t="shared" si="34"/>
        <v>1166.6666666666667</v>
      </c>
      <c r="G135">
        <f t="shared" si="35"/>
        <v>1166.6666666666667</v>
      </c>
      <c r="H135">
        <v>1916.666666666667</v>
      </c>
      <c r="I135">
        <v>0.52941176470588236</v>
      </c>
      <c r="J135">
        <v>0.29411764705882348</v>
      </c>
      <c r="K135">
        <v>0.52941176470588236</v>
      </c>
      <c r="L135">
        <f t="shared" si="36"/>
        <v>0.82352941176470584</v>
      </c>
      <c r="M135">
        <f t="shared" si="37"/>
        <v>0.82352941176470584</v>
      </c>
      <c r="N135">
        <v>1.3529411764705881</v>
      </c>
      <c r="O135">
        <f t="shared" si="38"/>
        <v>0</v>
      </c>
      <c r="P135">
        <f t="shared" si="39"/>
        <v>5.5882352941176494E-2</v>
      </c>
      <c r="Q135">
        <f t="shared" si="40"/>
        <v>0</v>
      </c>
      <c r="R135">
        <f t="shared" si="41"/>
        <v>7.6470588235294179E-2</v>
      </c>
      <c r="S135">
        <f t="shared" si="42"/>
        <v>0.12647058823529411</v>
      </c>
      <c r="T135">
        <f t="shared" si="43"/>
        <v>0.14705882352941191</v>
      </c>
      <c r="U135">
        <f t="shared" si="44"/>
        <v>0.14705882352941191</v>
      </c>
      <c r="V135">
        <f t="shared" si="45"/>
        <v>5.5882352941176494E-2</v>
      </c>
      <c r="W135">
        <f t="shared" si="46"/>
        <v>0.2084918658640858</v>
      </c>
      <c r="X135">
        <v>0</v>
      </c>
      <c r="Y135">
        <v>51.6</v>
      </c>
      <c r="Z135">
        <v>0</v>
      </c>
      <c r="AA135">
        <v>63.599999999999987</v>
      </c>
      <c r="AB135">
        <v>2.435294117647087</v>
      </c>
      <c r="AC135">
        <v>4.5882352941176379</v>
      </c>
      <c r="AD135">
        <v>10.58823529411772</v>
      </c>
      <c r="AE135">
        <v>3.5294117647087363E-2</v>
      </c>
      <c r="AF135">
        <v>17.647058823529392</v>
      </c>
      <c r="AG135">
        <v>162.35294117647061</v>
      </c>
      <c r="AH135">
        <v>180</v>
      </c>
      <c r="AI135">
        <v>180</v>
      </c>
      <c r="AJ135">
        <v>0</v>
      </c>
      <c r="AK135">
        <v>0</v>
      </c>
      <c r="AL135">
        <v>21.176470588235439</v>
      </c>
      <c r="AM135">
        <v>7.0588235294174712E-2</v>
      </c>
      <c r="AN135">
        <v>4.870588235294175</v>
      </c>
      <c r="AO135">
        <v>9.1764705882352757</v>
      </c>
      <c r="AP135">
        <v>0</v>
      </c>
      <c r="AQ135">
        <v>0</v>
      </c>
    </row>
    <row r="136" spans="1:43" x14ac:dyDescent="0.2">
      <c r="A136">
        <v>333</v>
      </c>
      <c r="B136">
        <v>40</v>
      </c>
      <c r="C136">
        <v>750</v>
      </c>
      <c r="D136">
        <v>416.66666666666669</v>
      </c>
      <c r="E136">
        <v>750</v>
      </c>
      <c r="F136">
        <f t="shared" si="34"/>
        <v>1166.6666666666667</v>
      </c>
      <c r="G136">
        <f t="shared" si="35"/>
        <v>1166.6666666666667</v>
      </c>
      <c r="H136">
        <v>1916.666666666667</v>
      </c>
      <c r="I136">
        <v>0.5625</v>
      </c>
      <c r="J136">
        <v>0.31250000000000011</v>
      </c>
      <c r="K136">
        <v>0.5625</v>
      </c>
      <c r="L136">
        <f t="shared" si="36"/>
        <v>0.87500000000000011</v>
      </c>
      <c r="M136">
        <f t="shared" si="37"/>
        <v>0.87500000000000011</v>
      </c>
      <c r="N136">
        <v>1.4375</v>
      </c>
      <c r="O136">
        <f t="shared" si="38"/>
        <v>1.2499999999999956E-2</v>
      </c>
      <c r="P136">
        <f t="shared" si="39"/>
        <v>3.7499999999999867E-2</v>
      </c>
      <c r="Q136">
        <f t="shared" si="40"/>
        <v>0</v>
      </c>
      <c r="R136">
        <f t="shared" si="41"/>
        <v>2.4999999999999911E-2</v>
      </c>
      <c r="S136">
        <f t="shared" si="42"/>
        <v>7.4999999999999845E-2</v>
      </c>
      <c r="T136">
        <f t="shared" si="43"/>
        <v>6.25E-2</v>
      </c>
      <c r="U136">
        <f t="shared" si="44"/>
        <v>6.3737743919909801E-2</v>
      </c>
      <c r="V136">
        <f t="shared" si="45"/>
        <v>3.9528470752104597E-2</v>
      </c>
      <c r="W136">
        <f t="shared" si="46"/>
        <v>0.10077822185373173</v>
      </c>
      <c r="X136">
        <v>0</v>
      </c>
      <c r="Y136">
        <v>52.8</v>
      </c>
      <c r="Z136">
        <v>94.8</v>
      </c>
      <c r="AA136">
        <v>50.4</v>
      </c>
      <c r="AB136">
        <v>0.14999999999991909</v>
      </c>
      <c r="AC136">
        <v>9.7799999999999674</v>
      </c>
      <c r="AD136">
        <v>0.1012499999999515</v>
      </c>
      <c r="AE136">
        <v>0.46874999999995959</v>
      </c>
      <c r="AF136">
        <v>10.499999999999799</v>
      </c>
      <c r="AG136">
        <v>172.5</v>
      </c>
      <c r="AH136">
        <v>182.9999999999998</v>
      </c>
      <c r="AI136">
        <v>180</v>
      </c>
      <c r="AJ136">
        <v>0</v>
      </c>
      <c r="AK136">
        <v>2.1599999999999349</v>
      </c>
      <c r="AL136">
        <v>0.20249999999990301</v>
      </c>
      <c r="AM136">
        <v>0.93749999999991918</v>
      </c>
      <c r="AN136">
        <v>0.29999999999983828</v>
      </c>
      <c r="AO136">
        <v>17.399999999999999</v>
      </c>
      <c r="AP136">
        <v>0</v>
      </c>
      <c r="AQ136">
        <v>0</v>
      </c>
    </row>
    <row r="137" spans="1:43" x14ac:dyDescent="0.2">
      <c r="A137">
        <v>333</v>
      </c>
      <c r="B137">
        <v>37.5</v>
      </c>
      <c r="C137">
        <v>750</v>
      </c>
      <c r="D137">
        <v>416.66666666666669</v>
      </c>
      <c r="E137">
        <v>750</v>
      </c>
      <c r="F137">
        <f t="shared" si="34"/>
        <v>1166.6666666666667</v>
      </c>
      <c r="G137">
        <f t="shared" si="35"/>
        <v>1166.6666666666667</v>
      </c>
      <c r="H137">
        <v>1916.666666666667</v>
      </c>
      <c r="I137">
        <v>0.6</v>
      </c>
      <c r="J137">
        <v>0.33333333333333343</v>
      </c>
      <c r="K137">
        <v>0.6</v>
      </c>
      <c r="L137">
        <f t="shared" si="36"/>
        <v>0.93333333333333335</v>
      </c>
      <c r="M137">
        <f t="shared" si="37"/>
        <v>0.93333333333333335</v>
      </c>
      <c r="N137">
        <v>1.533333333333333</v>
      </c>
      <c r="O137">
        <f t="shared" si="38"/>
        <v>4.9999999999999933E-2</v>
      </c>
      <c r="P137">
        <f t="shared" si="39"/>
        <v>1.6666666666666552E-2</v>
      </c>
      <c r="Q137">
        <f t="shared" si="40"/>
        <v>0</v>
      </c>
      <c r="R137">
        <f t="shared" si="41"/>
        <v>0</v>
      </c>
      <c r="S137">
        <f t="shared" si="42"/>
        <v>1.6666666666666607E-2</v>
      </c>
      <c r="T137">
        <f t="shared" si="43"/>
        <v>3.3333333333332993E-2</v>
      </c>
      <c r="U137">
        <f t="shared" si="44"/>
        <v>6.0092521257732914E-2</v>
      </c>
      <c r="V137">
        <f t="shared" si="45"/>
        <v>5.2704627669472891E-2</v>
      </c>
      <c r="W137">
        <f t="shared" si="46"/>
        <v>3.7267799624996163E-2</v>
      </c>
      <c r="X137">
        <v>0</v>
      </c>
      <c r="Y137">
        <v>48</v>
      </c>
      <c r="Z137">
        <v>100.8</v>
      </c>
      <c r="AA137">
        <v>52.8</v>
      </c>
      <c r="AB137">
        <v>0</v>
      </c>
      <c r="AC137">
        <v>6.4</v>
      </c>
      <c r="AD137">
        <v>1.599999999999919</v>
      </c>
      <c r="AE137">
        <v>0</v>
      </c>
      <c r="AF137">
        <v>7.999999999999801</v>
      </c>
      <c r="AG137">
        <v>184</v>
      </c>
      <c r="AH137">
        <v>191.9999999999998</v>
      </c>
      <c r="AI137">
        <v>180</v>
      </c>
      <c r="AJ137">
        <v>0</v>
      </c>
      <c r="AK137">
        <v>9.6</v>
      </c>
      <c r="AL137">
        <v>3.199999999999839</v>
      </c>
      <c r="AM137">
        <v>0</v>
      </c>
      <c r="AN137">
        <v>0</v>
      </c>
      <c r="AO137">
        <v>3.2</v>
      </c>
      <c r="AP137">
        <v>0</v>
      </c>
      <c r="AQ137">
        <v>0</v>
      </c>
    </row>
    <row r="138" spans="1:43" x14ac:dyDescent="0.2">
      <c r="A138">
        <v>333</v>
      </c>
      <c r="B138">
        <v>35</v>
      </c>
      <c r="C138">
        <v>750</v>
      </c>
      <c r="D138">
        <v>416.66666666666669</v>
      </c>
      <c r="E138">
        <v>750</v>
      </c>
      <c r="F138">
        <f t="shared" si="34"/>
        <v>1166.6666666666667</v>
      </c>
      <c r="G138">
        <f t="shared" si="35"/>
        <v>1166.6666666666667</v>
      </c>
      <c r="H138">
        <v>1916.666666666667</v>
      </c>
      <c r="I138">
        <v>0.64285714285714279</v>
      </c>
      <c r="J138">
        <v>0.35714285714285721</v>
      </c>
      <c r="K138">
        <v>0.64285714285714279</v>
      </c>
      <c r="L138">
        <f t="shared" si="36"/>
        <v>1</v>
      </c>
      <c r="M138">
        <f t="shared" si="37"/>
        <v>1</v>
      </c>
      <c r="N138">
        <v>1.642857142857143</v>
      </c>
      <c r="O138">
        <f t="shared" si="38"/>
        <v>9.2857142857142749E-2</v>
      </c>
      <c r="P138">
        <f t="shared" si="39"/>
        <v>0</v>
      </c>
      <c r="Q138">
        <f t="shared" si="40"/>
        <v>4.2857142857142816E-2</v>
      </c>
      <c r="R138">
        <f t="shared" si="41"/>
        <v>0</v>
      </c>
      <c r="S138">
        <f t="shared" si="42"/>
        <v>0</v>
      </c>
      <c r="T138">
        <f t="shared" si="43"/>
        <v>0.14285714285714302</v>
      </c>
      <c r="U138">
        <f t="shared" si="44"/>
        <v>0.1703837205982367</v>
      </c>
      <c r="V138">
        <f t="shared" si="45"/>
        <v>0.10227015045197384</v>
      </c>
      <c r="W138">
        <f t="shared" si="46"/>
        <v>0.14285714285714302</v>
      </c>
      <c r="X138">
        <v>0</v>
      </c>
      <c r="Y138">
        <v>43.2</v>
      </c>
      <c r="Z138">
        <v>97.2</v>
      </c>
      <c r="AA138">
        <v>55.2</v>
      </c>
      <c r="AB138">
        <v>0.67959183673479451</v>
      </c>
      <c r="AC138">
        <v>10.92612244897945</v>
      </c>
      <c r="AD138">
        <v>5.3804081632653444</v>
      </c>
      <c r="AE138">
        <v>0.15673469387721631</v>
      </c>
      <c r="AF138">
        <v>17.142857142856709</v>
      </c>
      <c r="AG138">
        <v>197.1428571428572</v>
      </c>
      <c r="AH138">
        <v>214.28571428571391</v>
      </c>
      <c r="AI138">
        <v>180</v>
      </c>
      <c r="AJ138">
        <v>0</v>
      </c>
      <c r="AK138">
        <v>17.554285714285569</v>
      </c>
      <c r="AL138">
        <v>4.0751020408164349</v>
      </c>
      <c r="AM138">
        <v>0.3134693877544325</v>
      </c>
      <c r="AN138">
        <v>1.359183673469589</v>
      </c>
      <c r="AO138">
        <v>4.297959183673326</v>
      </c>
      <c r="AP138">
        <v>6.6857142857142513</v>
      </c>
      <c r="AQ138">
        <v>0</v>
      </c>
    </row>
    <row r="139" spans="1:43" x14ac:dyDescent="0.2">
      <c r="A139">
        <v>333</v>
      </c>
      <c r="B139">
        <v>32.5</v>
      </c>
      <c r="C139">
        <v>750</v>
      </c>
      <c r="D139">
        <v>416.66666666666669</v>
      </c>
      <c r="E139">
        <v>750</v>
      </c>
      <c r="F139">
        <f t="shared" si="34"/>
        <v>1166.6666666666667</v>
      </c>
      <c r="G139">
        <f t="shared" si="35"/>
        <v>1166.6666666666667</v>
      </c>
      <c r="H139">
        <v>1916.666666666667</v>
      </c>
      <c r="I139">
        <v>0.6923076923076924</v>
      </c>
      <c r="J139">
        <v>0.38461538461538458</v>
      </c>
      <c r="K139">
        <v>0.6923076923076924</v>
      </c>
      <c r="L139">
        <f t="shared" si="36"/>
        <v>1.0769230769230771</v>
      </c>
      <c r="M139">
        <f t="shared" si="37"/>
        <v>1.0769230769230771</v>
      </c>
      <c r="N139">
        <v>1.7692307692307701</v>
      </c>
      <c r="O139">
        <f t="shared" si="38"/>
        <v>0.14230769230769236</v>
      </c>
      <c r="P139">
        <f t="shared" si="39"/>
        <v>0</v>
      </c>
      <c r="Q139">
        <f t="shared" si="40"/>
        <v>9.2307692307692424E-2</v>
      </c>
      <c r="R139">
        <f t="shared" si="41"/>
        <v>0</v>
      </c>
      <c r="S139">
        <f t="shared" si="42"/>
        <v>2.6923076923077091E-2</v>
      </c>
      <c r="T139">
        <f t="shared" si="43"/>
        <v>0.23076923076922995</v>
      </c>
      <c r="U139">
        <f t="shared" si="44"/>
        <v>0.27111974690118562</v>
      </c>
      <c r="V139">
        <f t="shared" si="45"/>
        <v>0.16962366977846122</v>
      </c>
      <c r="W139">
        <f t="shared" si="46"/>
        <v>0.23233443554675237</v>
      </c>
      <c r="X139">
        <v>0</v>
      </c>
      <c r="Y139">
        <v>72</v>
      </c>
      <c r="Z139">
        <v>8.4</v>
      </c>
      <c r="AA139">
        <v>93.6</v>
      </c>
      <c r="AB139">
        <v>16.23358579881678</v>
      </c>
      <c r="AC139">
        <v>3.529491124260312</v>
      </c>
      <c r="AD139">
        <v>7.2830769230769272</v>
      </c>
      <c r="AE139">
        <v>0.64615384615382132</v>
      </c>
      <c r="AF139">
        <v>27.692307692307651</v>
      </c>
      <c r="AG139">
        <v>212.30769230769229</v>
      </c>
      <c r="AH139">
        <v>240</v>
      </c>
      <c r="AI139">
        <v>180</v>
      </c>
      <c r="AJ139">
        <v>0</v>
      </c>
      <c r="AK139">
        <v>0</v>
      </c>
      <c r="AL139">
        <v>0</v>
      </c>
      <c r="AM139">
        <v>1.2923076923076431</v>
      </c>
      <c r="AN139">
        <v>32.467171597633573</v>
      </c>
      <c r="AO139">
        <v>7.0589822485206239</v>
      </c>
      <c r="AP139">
        <v>14.566153846153849</v>
      </c>
      <c r="AQ139">
        <v>0</v>
      </c>
    </row>
    <row r="140" spans="1:43" x14ac:dyDescent="0.2">
      <c r="A140">
        <v>333</v>
      </c>
      <c r="B140">
        <v>30</v>
      </c>
      <c r="C140">
        <v>750</v>
      </c>
      <c r="D140">
        <v>416.66666666666669</v>
      </c>
      <c r="E140">
        <v>750</v>
      </c>
      <c r="F140">
        <f t="shared" si="34"/>
        <v>1166.6666666666667</v>
      </c>
      <c r="G140">
        <f t="shared" si="35"/>
        <v>1166.6666666666667</v>
      </c>
      <c r="H140">
        <v>1916.666666666667</v>
      </c>
      <c r="I140">
        <v>0.75</v>
      </c>
      <c r="J140">
        <v>0.41666666666666669</v>
      </c>
      <c r="K140">
        <v>0.75</v>
      </c>
      <c r="L140">
        <f t="shared" si="36"/>
        <v>1.1666666666666667</v>
      </c>
      <c r="M140">
        <f t="shared" si="37"/>
        <v>1.1666666666666667</v>
      </c>
      <c r="N140">
        <v>1.916666666666667</v>
      </c>
      <c r="O140">
        <f t="shared" si="38"/>
        <v>0.19999999999999996</v>
      </c>
      <c r="P140">
        <f t="shared" si="39"/>
        <v>0</v>
      </c>
      <c r="Q140">
        <f t="shared" si="40"/>
        <v>0.15000000000000002</v>
      </c>
      <c r="R140">
        <f t="shared" si="41"/>
        <v>6.6666666666666735E-2</v>
      </c>
      <c r="S140">
        <f t="shared" si="42"/>
        <v>0.11666666666666674</v>
      </c>
      <c r="T140">
        <f t="shared" si="43"/>
        <v>8.3333333333333037E-2</v>
      </c>
      <c r="U140">
        <f t="shared" si="44"/>
        <v>0.21666666666666651</v>
      </c>
      <c r="V140">
        <f t="shared" si="45"/>
        <v>0.24999999999999997</v>
      </c>
      <c r="W140">
        <f t="shared" si="46"/>
        <v>0.15811388300841889</v>
      </c>
      <c r="X140">
        <v>0</v>
      </c>
      <c r="Y140">
        <v>27.6</v>
      </c>
      <c r="Z140">
        <v>76.8</v>
      </c>
      <c r="AA140">
        <v>13.2</v>
      </c>
      <c r="AB140">
        <v>0.46399999999961838</v>
      </c>
      <c r="AC140">
        <v>20.576000000000001</v>
      </c>
      <c r="AD140">
        <v>0.71999999999999187</v>
      </c>
      <c r="AE140">
        <v>16.239999999999821</v>
      </c>
      <c r="AF140">
        <v>37.999999999999488</v>
      </c>
      <c r="AG140">
        <v>230</v>
      </c>
      <c r="AH140">
        <v>267.99999999999949</v>
      </c>
      <c r="AI140">
        <v>180</v>
      </c>
      <c r="AJ140">
        <v>0</v>
      </c>
      <c r="AK140">
        <v>40.320000000000043</v>
      </c>
      <c r="AL140">
        <v>0</v>
      </c>
      <c r="AM140">
        <v>32.479999999999642</v>
      </c>
      <c r="AN140">
        <v>0.92799999999923688</v>
      </c>
      <c r="AO140">
        <v>0.83199999999997087</v>
      </c>
      <c r="AP140">
        <v>1.439999999999984</v>
      </c>
      <c r="AQ140">
        <v>0</v>
      </c>
    </row>
    <row r="141" spans="1:43" x14ac:dyDescent="0.2">
      <c r="A141">
        <v>333</v>
      </c>
      <c r="B141">
        <v>27.5</v>
      </c>
      <c r="C141">
        <v>750</v>
      </c>
      <c r="D141">
        <v>416.66666666666669</v>
      </c>
      <c r="E141">
        <v>750</v>
      </c>
      <c r="F141">
        <f t="shared" si="34"/>
        <v>1166.6666666666667</v>
      </c>
      <c r="G141">
        <f t="shared" si="35"/>
        <v>1166.6666666666667</v>
      </c>
      <c r="H141">
        <v>1916.666666666667</v>
      </c>
      <c r="I141">
        <v>0.81818181818181823</v>
      </c>
      <c r="J141">
        <v>0.45454545454545459</v>
      </c>
      <c r="K141">
        <v>0.81818181818181823</v>
      </c>
      <c r="L141">
        <f t="shared" si="36"/>
        <v>1.2727272727272729</v>
      </c>
      <c r="M141">
        <f t="shared" si="37"/>
        <v>1.2727272727272729</v>
      </c>
      <c r="N141">
        <v>2.0909090909090908</v>
      </c>
      <c r="O141">
        <f t="shared" si="38"/>
        <v>0.13181818181818172</v>
      </c>
      <c r="P141">
        <f t="shared" si="39"/>
        <v>0</v>
      </c>
      <c r="Q141">
        <f t="shared" si="40"/>
        <v>8.181818181818179E-2</v>
      </c>
      <c r="R141">
        <f t="shared" si="41"/>
        <v>0.12727272727272709</v>
      </c>
      <c r="S141">
        <f t="shared" si="42"/>
        <v>0.17727272727272708</v>
      </c>
      <c r="T141">
        <f t="shared" si="43"/>
        <v>9.0909090909090828E-2</v>
      </c>
      <c r="U141">
        <f t="shared" si="44"/>
        <v>0.16012649958007749</v>
      </c>
      <c r="V141">
        <f t="shared" si="45"/>
        <v>0.15514589241705457</v>
      </c>
      <c r="W141">
        <f t="shared" si="46"/>
        <v>0.23640733861719687</v>
      </c>
      <c r="X141">
        <v>0</v>
      </c>
      <c r="Y141">
        <v>99.6</v>
      </c>
      <c r="Z141">
        <v>33.6</v>
      </c>
      <c r="AA141">
        <v>2.4</v>
      </c>
      <c r="AB141">
        <v>19.46181818181811</v>
      </c>
      <c r="AC141">
        <v>5.2254545454543813</v>
      </c>
      <c r="AD141">
        <v>12.89454545454549</v>
      </c>
      <c r="AE141">
        <v>4.9636363636364376</v>
      </c>
      <c r="AF141">
        <v>42.545454545454021</v>
      </c>
      <c r="AG141">
        <v>250.90909090909091</v>
      </c>
      <c r="AH141">
        <v>293.45454545454493</v>
      </c>
      <c r="AI141">
        <v>180</v>
      </c>
      <c r="AJ141">
        <v>0</v>
      </c>
      <c r="AK141">
        <v>1.418181818181701</v>
      </c>
      <c r="AL141">
        <v>0</v>
      </c>
      <c r="AM141">
        <v>9.9272727272728751</v>
      </c>
      <c r="AN141">
        <v>38.923636363636213</v>
      </c>
      <c r="AO141">
        <v>9.0327272727270618</v>
      </c>
      <c r="AP141">
        <v>25.78909090909098</v>
      </c>
      <c r="AQ141">
        <v>0</v>
      </c>
    </row>
    <row r="142" spans="1:43" x14ac:dyDescent="0.2">
      <c r="A142">
        <v>333</v>
      </c>
      <c r="B142">
        <v>25</v>
      </c>
      <c r="C142">
        <v>750</v>
      </c>
      <c r="D142">
        <v>416.66666666666669</v>
      </c>
      <c r="E142">
        <v>750</v>
      </c>
      <c r="F142">
        <f t="shared" si="34"/>
        <v>1166.6666666666667</v>
      </c>
      <c r="G142">
        <f t="shared" si="35"/>
        <v>1166.6666666666667</v>
      </c>
      <c r="H142">
        <v>1916.666666666667</v>
      </c>
      <c r="I142">
        <v>0.89999999999999991</v>
      </c>
      <c r="J142">
        <v>0.5</v>
      </c>
      <c r="K142">
        <v>0.89999999999999991</v>
      </c>
      <c r="L142">
        <f t="shared" si="36"/>
        <v>1.4000000000000001</v>
      </c>
      <c r="M142">
        <f t="shared" si="37"/>
        <v>1.4000000000000001</v>
      </c>
      <c r="N142">
        <v>2.2999999999999998</v>
      </c>
      <c r="O142">
        <f t="shared" si="38"/>
        <v>5.0000000000000044E-2</v>
      </c>
      <c r="P142">
        <f t="shared" si="39"/>
        <v>0</v>
      </c>
      <c r="Q142">
        <f t="shared" si="40"/>
        <v>0</v>
      </c>
      <c r="R142">
        <f t="shared" si="41"/>
        <v>0</v>
      </c>
      <c r="S142">
        <f t="shared" si="42"/>
        <v>4.9999999999999878E-2</v>
      </c>
      <c r="T142">
        <f t="shared" si="43"/>
        <v>0.20000000000000018</v>
      </c>
      <c r="U142">
        <f t="shared" si="44"/>
        <v>0.2061552812808832</v>
      </c>
      <c r="V142">
        <f t="shared" si="45"/>
        <v>5.0000000000000044E-2</v>
      </c>
      <c r="W142">
        <f t="shared" si="46"/>
        <v>0.20615528128088317</v>
      </c>
      <c r="X142">
        <v>0</v>
      </c>
      <c r="Y142">
        <v>0</v>
      </c>
      <c r="Z142">
        <v>36</v>
      </c>
      <c r="AA142">
        <v>48</v>
      </c>
      <c r="AB142">
        <v>6</v>
      </c>
      <c r="AC142">
        <v>18</v>
      </c>
      <c r="AD142">
        <v>0</v>
      </c>
      <c r="AE142">
        <v>0</v>
      </c>
      <c r="AF142">
        <v>24</v>
      </c>
      <c r="AG142">
        <v>276</v>
      </c>
      <c r="AH142">
        <v>300</v>
      </c>
      <c r="AI142">
        <v>180</v>
      </c>
      <c r="AJ142">
        <v>0</v>
      </c>
      <c r="AK142">
        <v>12</v>
      </c>
      <c r="AL142">
        <v>0</v>
      </c>
      <c r="AM142">
        <v>0</v>
      </c>
      <c r="AN142">
        <v>12</v>
      </c>
      <c r="AO142">
        <v>24</v>
      </c>
      <c r="AP142">
        <v>0</v>
      </c>
      <c r="AQ142">
        <v>0</v>
      </c>
    </row>
    <row r="143" spans="1:43" x14ac:dyDescent="0.2">
      <c r="A143">
        <v>333</v>
      </c>
      <c r="B143">
        <v>22.5</v>
      </c>
      <c r="C143">
        <v>750</v>
      </c>
      <c r="D143">
        <v>416.66666666666669</v>
      </c>
      <c r="E143">
        <v>750</v>
      </c>
      <c r="F143">
        <f t="shared" si="34"/>
        <v>1166.6666666666667</v>
      </c>
      <c r="G143">
        <f t="shared" si="35"/>
        <v>1166.6666666666667</v>
      </c>
      <c r="H143">
        <v>1916.666666666667</v>
      </c>
      <c r="I143">
        <v>1</v>
      </c>
      <c r="J143">
        <v>0.55555555555555558</v>
      </c>
      <c r="K143">
        <v>1</v>
      </c>
      <c r="L143">
        <f t="shared" si="36"/>
        <v>1.5555555555555556</v>
      </c>
      <c r="M143">
        <f t="shared" si="37"/>
        <v>1.5555555555555556</v>
      </c>
      <c r="N143">
        <v>2.5555555555555549</v>
      </c>
      <c r="O143">
        <f t="shared" si="38"/>
        <v>0</v>
      </c>
      <c r="P143">
        <f t="shared" si="39"/>
        <v>0</v>
      </c>
      <c r="Q143">
        <f t="shared" si="40"/>
        <v>0</v>
      </c>
      <c r="R143">
        <f t="shared" si="41"/>
        <v>0</v>
      </c>
      <c r="S143">
        <f t="shared" si="42"/>
        <v>5.5555555555555358E-3</v>
      </c>
      <c r="T143">
        <f t="shared" si="43"/>
        <v>5.5555555555554914E-2</v>
      </c>
      <c r="U143">
        <f t="shared" si="44"/>
        <v>5.5555555555554914E-2</v>
      </c>
      <c r="V143">
        <f t="shared" si="45"/>
        <v>0</v>
      </c>
      <c r="W143">
        <f t="shared" si="46"/>
        <v>5.5832642339559861E-2</v>
      </c>
      <c r="X143">
        <v>0</v>
      </c>
      <c r="Y143">
        <v>0</v>
      </c>
      <c r="Z143">
        <v>34.799999999999997</v>
      </c>
      <c r="AA143">
        <v>58.8</v>
      </c>
      <c r="AB143">
        <v>2.7333333333330101</v>
      </c>
      <c r="AC143">
        <v>0</v>
      </c>
      <c r="AD143">
        <v>2.3600000000000159</v>
      </c>
      <c r="AE143">
        <v>1.5733333333335191</v>
      </c>
      <c r="AF143">
        <v>6.6666666666663454</v>
      </c>
      <c r="AG143">
        <v>306.66666666666669</v>
      </c>
      <c r="AH143">
        <v>313.33333333333297</v>
      </c>
      <c r="AI143">
        <v>180</v>
      </c>
      <c r="AJ143">
        <v>0</v>
      </c>
      <c r="AK143">
        <v>0</v>
      </c>
      <c r="AL143">
        <v>4.7200000000000326</v>
      </c>
      <c r="AM143">
        <v>3.1466666666670391</v>
      </c>
      <c r="AN143">
        <v>5.4666666666660202</v>
      </c>
      <c r="AO143">
        <v>0</v>
      </c>
      <c r="AP143">
        <v>0</v>
      </c>
      <c r="AQ143">
        <v>0</v>
      </c>
    </row>
    <row r="144" spans="1:43" x14ac:dyDescent="0.2">
      <c r="A144">
        <v>333</v>
      </c>
      <c r="B144">
        <v>20</v>
      </c>
      <c r="C144">
        <v>750</v>
      </c>
      <c r="D144">
        <v>416.66666666666669</v>
      </c>
      <c r="E144">
        <v>750</v>
      </c>
      <c r="F144">
        <f t="shared" si="34"/>
        <v>1166.6666666666667</v>
      </c>
      <c r="G144">
        <f t="shared" si="35"/>
        <v>1166.6666666666667</v>
      </c>
      <c r="H144">
        <v>1916.666666666667</v>
      </c>
      <c r="I144">
        <v>1.125</v>
      </c>
      <c r="J144">
        <v>0.62500000000000011</v>
      </c>
      <c r="K144">
        <v>1.125</v>
      </c>
      <c r="L144">
        <f t="shared" si="36"/>
        <v>1.7500000000000002</v>
      </c>
      <c r="M144">
        <f t="shared" si="37"/>
        <v>1.7500000000000002</v>
      </c>
      <c r="N144">
        <v>2.875</v>
      </c>
      <c r="O144">
        <f t="shared" si="38"/>
        <v>7.4999999999999997E-2</v>
      </c>
      <c r="P144">
        <f t="shared" si="39"/>
        <v>0</v>
      </c>
      <c r="Q144">
        <f t="shared" si="40"/>
        <v>2.4999999999999994E-2</v>
      </c>
      <c r="R144">
        <f t="shared" si="41"/>
        <v>0.1499999999999998</v>
      </c>
      <c r="S144">
        <f t="shared" si="42"/>
        <v>0.19999999999999973</v>
      </c>
      <c r="T144">
        <f t="shared" si="43"/>
        <v>0.125</v>
      </c>
      <c r="U144">
        <f t="shared" si="44"/>
        <v>0.1457737973711325</v>
      </c>
      <c r="V144">
        <f t="shared" si="45"/>
        <v>7.9056941504209485E-2</v>
      </c>
      <c r="W144">
        <f t="shared" si="46"/>
        <v>0.27950849718747339</v>
      </c>
      <c r="X144">
        <v>0</v>
      </c>
      <c r="Y144">
        <v>2.4</v>
      </c>
      <c r="Z144">
        <v>98.399999999999991</v>
      </c>
      <c r="AA144">
        <v>117.6</v>
      </c>
      <c r="AB144">
        <v>8.5979999999998356</v>
      </c>
      <c r="AC144">
        <v>14.682000000000009</v>
      </c>
      <c r="AD144">
        <v>7.6199999999999513</v>
      </c>
      <c r="AE144">
        <v>2.1</v>
      </c>
      <c r="AF144">
        <v>32.99999999999892</v>
      </c>
      <c r="AG144">
        <v>345</v>
      </c>
      <c r="AH144">
        <v>377.99999999999892</v>
      </c>
      <c r="AI144">
        <v>180</v>
      </c>
      <c r="AJ144">
        <v>0</v>
      </c>
      <c r="AK144">
        <v>0.4800000000000485</v>
      </c>
      <c r="AL144">
        <v>9.1199999999998713</v>
      </c>
      <c r="AM144">
        <v>4.2</v>
      </c>
      <c r="AN144">
        <v>17.195999999999671</v>
      </c>
      <c r="AO144">
        <v>28.883999999999979</v>
      </c>
      <c r="AP144">
        <v>6.1200000000000321</v>
      </c>
      <c r="AQ144">
        <v>0</v>
      </c>
    </row>
    <row r="145" spans="1:43" x14ac:dyDescent="0.2">
      <c r="A145">
        <v>334</v>
      </c>
      <c r="B145">
        <v>50</v>
      </c>
      <c r="C145">
        <v>416.66666666666669</v>
      </c>
      <c r="D145">
        <v>416.66666666666669</v>
      </c>
      <c r="E145">
        <v>750</v>
      </c>
      <c r="F145">
        <f t="shared" si="34"/>
        <v>833.33333333333337</v>
      </c>
      <c r="G145">
        <f t="shared" si="35"/>
        <v>1166.6666666666667</v>
      </c>
      <c r="H145">
        <v>1583.333333333333</v>
      </c>
      <c r="I145">
        <v>0.25</v>
      </c>
      <c r="J145">
        <v>0.25</v>
      </c>
      <c r="K145">
        <v>0.45</v>
      </c>
      <c r="L145">
        <f t="shared" si="36"/>
        <v>0.5</v>
      </c>
      <c r="M145">
        <f t="shared" si="37"/>
        <v>0.70000000000000007</v>
      </c>
      <c r="N145">
        <v>0.95</v>
      </c>
      <c r="O145">
        <f t="shared" si="38"/>
        <v>0.2</v>
      </c>
      <c r="P145">
        <f t="shared" si="39"/>
        <v>9.9999999999999978E-2</v>
      </c>
      <c r="Q145">
        <f t="shared" si="40"/>
        <v>0</v>
      </c>
      <c r="R145">
        <f t="shared" si="41"/>
        <v>0</v>
      </c>
      <c r="S145">
        <f t="shared" si="42"/>
        <v>0.15000000000000002</v>
      </c>
      <c r="T145">
        <f t="shared" si="43"/>
        <v>5.0000000000000044E-2</v>
      </c>
      <c r="U145">
        <f t="shared" si="44"/>
        <v>0.20615528128088306</v>
      </c>
      <c r="V145">
        <f t="shared" si="45"/>
        <v>0.22360679774997896</v>
      </c>
      <c r="W145">
        <f t="shared" si="46"/>
        <v>0.158113883008419</v>
      </c>
      <c r="X145">
        <v>0</v>
      </c>
      <c r="Y145">
        <v>33.6</v>
      </c>
      <c r="Z145">
        <v>4.8</v>
      </c>
      <c r="AA145">
        <v>82.8</v>
      </c>
      <c r="AB145">
        <v>22.319999999999791</v>
      </c>
      <c r="AC145">
        <v>2.2799999999999678</v>
      </c>
      <c r="AD145">
        <v>10.43999999999998</v>
      </c>
      <c r="AE145">
        <v>6.960000000000016</v>
      </c>
      <c r="AF145">
        <v>41.999999999999723</v>
      </c>
      <c r="AG145">
        <v>114</v>
      </c>
      <c r="AH145">
        <v>155.99999999999969</v>
      </c>
      <c r="AI145">
        <v>180</v>
      </c>
      <c r="AJ145">
        <v>0</v>
      </c>
      <c r="AK145">
        <v>3.6</v>
      </c>
      <c r="AL145">
        <v>20.879999999999971</v>
      </c>
      <c r="AM145">
        <v>13.92000000000003</v>
      </c>
      <c r="AN145">
        <v>44.639999999999581</v>
      </c>
      <c r="AO145">
        <v>0.95999999999993535</v>
      </c>
      <c r="AP145">
        <v>0</v>
      </c>
      <c r="AQ145">
        <v>0</v>
      </c>
    </row>
    <row r="146" spans="1:43" x14ac:dyDescent="0.2">
      <c r="A146">
        <v>334</v>
      </c>
      <c r="B146">
        <v>47.5</v>
      </c>
      <c r="C146">
        <v>416.66666666666669</v>
      </c>
      <c r="D146">
        <v>416.66666666666669</v>
      </c>
      <c r="E146">
        <v>750</v>
      </c>
      <c r="F146">
        <f t="shared" si="34"/>
        <v>833.33333333333337</v>
      </c>
      <c r="G146">
        <f t="shared" si="35"/>
        <v>1166.6666666666667</v>
      </c>
      <c r="H146">
        <v>1583.333333333333</v>
      </c>
      <c r="I146">
        <v>0.26315789473684209</v>
      </c>
      <c r="J146">
        <v>0.26315789473684209</v>
      </c>
      <c r="K146">
        <v>0.47368421052631582</v>
      </c>
      <c r="L146">
        <f t="shared" si="36"/>
        <v>0.52631578947368429</v>
      </c>
      <c r="M146">
        <f t="shared" si="37"/>
        <v>0.73684210526315796</v>
      </c>
      <c r="N146">
        <v>1</v>
      </c>
      <c r="O146">
        <f t="shared" si="38"/>
        <v>0.18684210526315792</v>
      </c>
      <c r="P146">
        <f t="shared" si="39"/>
        <v>8.6842105263157887E-2</v>
      </c>
      <c r="Q146">
        <f t="shared" si="40"/>
        <v>0</v>
      </c>
      <c r="R146">
        <f t="shared" si="41"/>
        <v>0</v>
      </c>
      <c r="S146">
        <f t="shared" si="42"/>
        <v>0.18684210526315792</v>
      </c>
      <c r="T146">
        <f t="shared" si="43"/>
        <v>0</v>
      </c>
      <c r="U146">
        <f t="shared" si="44"/>
        <v>0.18684210526315792</v>
      </c>
      <c r="V146">
        <f t="shared" si="45"/>
        <v>0.20603767506382512</v>
      </c>
      <c r="W146">
        <f t="shared" si="46"/>
        <v>0.18684210526315792</v>
      </c>
      <c r="X146">
        <v>0</v>
      </c>
      <c r="Y146">
        <v>34.799999999999997</v>
      </c>
      <c r="Z146">
        <v>0</v>
      </c>
      <c r="AA146">
        <v>79.2</v>
      </c>
      <c r="AB146">
        <v>20.892631578947562</v>
      </c>
      <c r="AC146">
        <v>1.9389473684210521</v>
      </c>
      <c r="AD146">
        <v>12.7136842105262</v>
      </c>
      <c r="AE146">
        <v>9.2968421052629608</v>
      </c>
      <c r="AF146">
        <v>44.842105263157649</v>
      </c>
      <c r="AG146">
        <v>120</v>
      </c>
      <c r="AH146">
        <v>164.84210526315761</v>
      </c>
      <c r="AI146">
        <v>180</v>
      </c>
      <c r="AJ146">
        <v>0</v>
      </c>
      <c r="AK146">
        <v>3.221052631578964</v>
      </c>
      <c r="AL146">
        <v>25.4273684210524</v>
      </c>
      <c r="AM146">
        <v>18.593684210525922</v>
      </c>
      <c r="AN146">
        <v>41.785263157895123</v>
      </c>
      <c r="AO146">
        <v>0.65684210526313913</v>
      </c>
      <c r="AP146">
        <v>0</v>
      </c>
      <c r="AQ146">
        <v>0</v>
      </c>
    </row>
    <row r="147" spans="1:43" x14ac:dyDescent="0.2">
      <c r="A147">
        <v>334</v>
      </c>
      <c r="B147">
        <v>45</v>
      </c>
      <c r="C147">
        <v>416.66666666666669</v>
      </c>
      <c r="D147">
        <v>416.66666666666669</v>
      </c>
      <c r="E147">
        <v>750</v>
      </c>
      <c r="F147">
        <f t="shared" si="34"/>
        <v>833.33333333333337</v>
      </c>
      <c r="G147">
        <f t="shared" si="35"/>
        <v>1166.6666666666667</v>
      </c>
      <c r="H147">
        <v>1583.333333333333</v>
      </c>
      <c r="I147">
        <v>0.27777777777777779</v>
      </c>
      <c r="J147">
        <v>0.27777777777777779</v>
      </c>
      <c r="K147">
        <v>0.5</v>
      </c>
      <c r="L147">
        <f t="shared" si="36"/>
        <v>0.55555555555555558</v>
      </c>
      <c r="M147">
        <f t="shared" si="37"/>
        <v>0.77777777777777779</v>
      </c>
      <c r="N147">
        <v>1.055555555555556</v>
      </c>
      <c r="O147">
        <f t="shared" si="38"/>
        <v>0.17222222222222222</v>
      </c>
      <c r="P147">
        <f t="shared" si="39"/>
        <v>7.2222222222222188E-2</v>
      </c>
      <c r="Q147">
        <f t="shared" si="40"/>
        <v>0</v>
      </c>
      <c r="R147">
        <f t="shared" si="41"/>
        <v>0</v>
      </c>
      <c r="S147">
        <f t="shared" si="42"/>
        <v>0.17222222222222217</v>
      </c>
      <c r="T147">
        <f t="shared" si="43"/>
        <v>5.5555555555556024E-2</v>
      </c>
      <c r="U147">
        <f t="shared" si="44"/>
        <v>0.18096108305447048</v>
      </c>
      <c r="V147">
        <f t="shared" si="45"/>
        <v>0.18675262571079565</v>
      </c>
      <c r="W147">
        <f t="shared" si="46"/>
        <v>0.18096108305447045</v>
      </c>
      <c r="X147">
        <v>0</v>
      </c>
      <c r="Y147">
        <v>116.4</v>
      </c>
      <c r="Z147">
        <v>56.4</v>
      </c>
      <c r="AA147">
        <v>116.4</v>
      </c>
      <c r="AB147">
        <v>14.866666666666671</v>
      </c>
      <c r="AC147">
        <v>23.306666666666651</v>
      </c>
      <c r="AD147">
        <v>9.8266666666666023</v>
      </c>
      <c r="AE147">
        <v>0</v>
      </c>
      <c r="AF147">
        <v>47.999999999999702</v>
      </c>
      <c r="AG147">
        <v>126.6666666666667</v>
      </c>
      <c r="AH147">
        <v>174.6666666666664</v>
      </c>
      <c r="AI147">
        <v>180</v>
      </c>
      <c r="AJ147">
        <v>0</v>
      </c>
      <c r="AK147">
        <v>19.94666666666663</v>
      </c>
      <c r="AL147">
        <v>19.653333333333201</v>
      </c>
      <c r="AM147">
        <v>0</v>
      </c>
      <c r="AN147">
        <v>29.733333333333331</v>
      </c>
      <c r="AO147">
        <v>26.666666666666671</v>
      </c>
      <c r="AP147">
        <v>0</v>
      </c>
      <c r="AQ147">
        <v>0</v>
      </c>
    </row>
    <row r="148" spans="1:43" x14ac:dyDescent="0.2">
      <c r="A148">
        <v>334</v>
      </c>
      <c r="B148">
        <v>42.5</v>
      </c>
      <c r="C148">
        <v>416.66666666666669</v>
      </c>
      <c r="D148">
        <v>416.66666666666669</v>
      </c>
      <c r="E148">
        <v>750</v>
      </c>
      <c r="F148">
        <f t="shared" si="34"/>
        <v>833.33333333333337</v>
      </c>
      <c r="G148">
        <f t="shared" si="35"/>
        <v>1166.6666666666667</v>
      </c>
      <c r="H148">
        <v>1583.333333333333</v>
      </c>
      <c r="I148">
        <v>0.29411764705882348</v>
      </c>
      <c r="J148">
        <v>0.29411764705882348</v>
      </c>
      <c r="K148">
        <v>0.52941176470588236</v>
      </c>
      <c r="L148">
        <f t="shared" si="36"/>
        <v>0.58823529411764708</v>
      </c>
      <c r="M148">
        <f t="shared" si="37"/>
        <v>0.82352941176470584</v>
      </c>
      <c r="N148">
        <v>1.117647058823529</v>
      </c>
      <c r="O148">
        <f t="shared" si="38"/>
        <v>0.15588235294117653</v>
      </c>
      <c r="P148">
        <f t="shared" si="39"/>
        <v>5.5882352941176494E-2</v>
      </c>
      <c r="Q148">
        <f t="shared" si="40"/>
        <v>0</v>
      </c>
      <c r="R148">
        <f t="shared" si="41"/>
        <v>0</v>
      </c>
      <c r="S148">
        <f t="shared" si="42"/>
        <v>0.12647058823529411</v>
      </c>
      <c r="T148">
        <f t="shared" si="43"/>
        <v>0.11764705882352899</v>
      </c>
      <c r="U148">
        <f t="shared" si="44"/>
        <v>0.19529500354157658</v>
      </c>
      <c r="V148">
        <f t="shared" si="45"/>
        <v>0.16559633247363828</v>
      </c>
      <c r="W148">
        <f t="shared" si="46"/>
        <v>0.17272996305912938</v>
      </c>
      <c r="X148">
        <v>0</v>
      </c>
      <c r="Y148">
        <v>16.8</v>
      </c>
      <c r="Z148">
        <v>79.2</v>
      </c>
      <c r="AA148">
        <v>22.8</v>
      </c>
      <c r="AB148">
        <v>26.04705882352933</v>
      </c>
      <c r="AC148">
        <v>10.18588235294111</v>
      </c>
      <c r="AD148">
        <v>8.2023529411764891</v>
      </c>
      <c r="AE148">
        <v>3.5294117646844828E-2</v>
      </c>
      <c r="AF148">
        <v>44.470588235293548</v>
      </c>
      <c r="AG148">
        <v>134.11764705882351</v>
      </c>
      <c r="AH148">
        <v>178.58823529411711</v>
      </c>
      <c r="AI148">
        <v>180</v>
      </c>
      <c r="AJ148">
        <v>0</v>
      </c>
      <c r="AK148">
        <v>5.1952941176470224</v>
      </c>
      <c r="AL148">
        <v>16.404705882352982</v>
      </c>
      <c r="AM148">
        <v>7.0588235293689655E-2</v>
      </c>
      <c r="AN148">
        <v>52.09411764705866</v>
      </c>
      <c r="AO148">
        <v>15.17647058823519</v>
      </c>
      <c r="AP148">
        <v>0</v>
      </c>
      <c r="AQ148">
        <v>0</v>
      </c>
    </row>
    <row r="149" spans="1:43" x14ac:dyDescent="0.2">
      <c r="A149">
        <v>334</v>
      </c>
      <c r="B149">
        <v>40</v>
      </c>
      <c r="C149">
        <v>416.66666666666669</v>
      </c>
      <c r="D149">
        <v>416.66666666666669</v>
      </c>
      <c r="E149">
        <v>750</v>
      </c>
      <c r="F149">
        <f t="shared" si="34"/>
        <v>833.33333333333337</v>
      </c>
      <c r="G149">
        <f t="shared" si="35"/>
        <v>1166.6666666666667</v>
      </c>
      <c r="H149">
        <v>1583.333333333333</v>
      </c>
      <c r="I149">
        <v>0.31250000000000011</v>
      </c>
      <c r="J149">
        <v>0.31250000000000011</v>
      </c>
      <c r="K149">
        <v>0.5625</v>
      </c>
      <c r="L149">
        <f t="shared" si="36"/>
        <v>0.62500000000000011</v>
      </c>
      <c r="M149">
        <f t="shared" si="37"/>
        <v>0.87500000000000011</v>
      </c>
      <c r="N149">
        <v>1.1875</v>
      </c>
      <c r="O149">
        <f t="shared" si="38"/>
        <v>0.1374999999999999</v>
      </c>
      <c r="P149">
        <f t="shared" si="39"/>
        <v>3.7499999999999867E-2</v>
      </c>
      <c r="Q149">
        <f t="shared" si="40"/>
        <v>0</v>
      </c>
      <c r="R149">
        <f t="shared" si="41"/>
        <v>2.5000000000000133E-2</v>
      </c>
      <c r="S149">
        <f t="shared" si="42"/>
        <v>7.4999999999999845E-2</v>
      </c>
      <c r="T149">
        <f t="shared" si="43"/>
        <v>0.1875</v>
      </c>
      <c r="U149">
        <f t="shared" si="44"/>
        <v>0.23251344047172837</v>
      </c>
      <c r="V149">
        <f t="shared" si="45"/>
        <v>0.14252192813739212</v>
      </c>
      <c r="W149">
        <f t="shared" si="46"/>
        <v>0.20348525745124629</v>
      </c>
      <c r="X149">
        <v>0</v>
      </c>
      <c r="Y149">
        <v>37.200000000000003</v>
      </c>
      <c r="Z149">
        <v>55.2</v>
      </c>
      <c r="AA149">
        <v>26.4</v>
      </c>
      <c r="AB149">
        <v>21.400499999999571</v>
      </c>
      <c r="AC149">
        <v>9.7395000000000032</v>
      </c>
      <c r="AD149">
        <v>4.4100000000000161</v>
      </c>
      <c r="AE149">
        <v>1.95</v>
      </c>
      <c r="AF149">
        <v>37.499999999999602</v>
      </c>
      <c r="AG149">
        <v>142.5</v>
      </c>
      <c r="AH149">
        <v>179.9999999999996</v>
      </c>
      <c r="AI149">
        <v>180</v>
      </c>
      <c r="AJ149">
        <v>0</v>
      </c>
      <c r="AK149">
        <v>0</v>
      </c>
      <c r="AL149">
        <v>0</v>
      </c>
      <c r="AM149">
        <v>3.9</v>
      </c>
      <c r="AN149">
        <v>42.800999999999149</v>
      </c>
      <c r="AO149">
        <v>19.47900000000001</v>
      </c>
      <c r="AP149">
        <v>8.8200000000000323</v>
      </c>
      <c r="AQ149">
        <v>0</v>
      </c>
    </row>
    <row r="150" spans="1:43" x14ac:dyDescent="0.2">
      <c r="A150">
        <v>334</v>
      </c>
      <c r="B150">
        <v>37.5</v>
      </c>
      <c r="C150">
        <v>416.66666666666669</v>
      </c>
      <c r="D150">
        <v>416.66666666666669</v>
      </c>
      <c r="E150">
        <v>750</v>
      </c>
      <c r="F150">
        <f t="shared" si="34"/>
        <v>833.33333333333337</v>
      </c>
      <c r="G150">
        <f t="shared" si="35"/>
        <v>1166.6666666666667</v>
      </c>
      <c r="H150">
        <v>1583.333333333333</v>
      </c>
      <c r="I150">
        <v>0.33333333333333343</v>
      </c>
      <c r="J150">
        <v>0.33333333333333343</v>
      </c>
      <c r="K150">
        <v>0.6</v>
      </c>
      <c r="L150">
        <f t="shared" si="36"/>
        <v>0.66666666666666674</v>
      </c>
      <c r="M150">
        <f t="shared" si="37"/>
        <v>0.93333333333333335</v>
      </c>
      <c r="N150">
        <v>1.2666666666666671</v>
      </c>
      <c r="O150">
        <f t="shared" si="38"/>
        <v>0.11666666666666659</v>
      </c>
      <c r="P150">
        <f t="shared" si="39"/>
        <v>1.6666666666666552E-2</v>
      </c>
      <c r="Q150">
        <f t="shared" si="40"/>
        <v>0</v>
      </c>
      <c r="R150">
        <f t="shared" si="41"/>
        <v>6.6666666666666763E-2</v>
      </c>
      <c r="S150">
        <f t="shared" si="42"/>
        <v>1.6666666666666607E-2</v>
      </c>
      <c r="T150">
        <f t="shared" si="43"/>
        <v>0.23333333333333295</v>
      </c>
      <c r="U150">
        <f t="shared" si="44"/>
        <v>0.26087459737497509</v>
      </c>
      <c r="V150">
        <f t="shared" si="45"/>
        <v>0.11785113019775782</v>
      </c>
      <c r="W150">
        <f t="shared" si="46"/>
        <v>0.24324199198877339</v>
      </c>
      <c r="X150">
        <v>0</v>
      </c>
      <c r="Y150">
        <v>40.799999999999997</v>
      </c>
      <c r="Z150">
        <v>82.8</v>
      </c>
      <c r="AA150">
        <v>34.799999999999997</v>
      </c>
      <c r="AB150">
        <v>19.600000000000001</v>
      </c>
      <c r="AC150">
        <v>7.4000000000000812</v>
      </c>
      <c r="AD150">
        <v>0.99999999999995959</v>
      </c>
      <c r="AE150">
        <v>0</v>
      </c>
      <c r="AF150">
        <v>27.999999999999911</v>
      </c>
      <c r="AG150">
        <v>152</v>
      </c>
      <c r="AH150">
        <v>179.99999999999989</v>
      </c>
      <c r="AI150">
        <v>180</v>
      </c>
      <c r="AJ150">
        <v>0</v>
      </c>
      <c r="AK150">
        <v>0.8</v>
      </c>
      <c r="AL150">
        <v>1.999999999999919</v>
      </c>
      <c r="AM150">
        <v>0</v>
      </c>
      <c r="AN150">
        <v>39.200000000000003</v>
      </c>
      <c r="AO150">
        <v>14.00000000000016</v>
      </c>
      <c r="AP150">
        <v>0</v>
      </c>
      <c r="AQ150">
        <v>0</v>
      </c>
    </row>
    <row r="151" spans="1:43" x14ac:dyDescent="0.2">
      <c r="A151">
        <v>334</v>
      </c>
      <c r="B151">
        <v>35</v>
      </c>
      <c r="C151">
        <v>416.66666666666669</v>
      </c>
      <c r="D151">
        <v>416.66666666666669</v>
      </c>
      <c r="E151">
        <v>750</v>
      </c>
      <c r="F151">
        <f t="shared" si="34"/>
        <v>833.33333333333337</v>
      </c>
      <c r="G151">
        <f t="shared" si="35"/>
        <v>1166.6666666666667</v>
      </c>
      <c r="H151">
        <v>1583.333333333333</v>
      </c>
      <c r="I151">
        <v>0.35714285714285721</v>
      </c>
      <c r="J151">
        <v>0.35714285714285721</v>
      </c>
      <c r="K151">
        <v>0.64285714285714279</v>
      </c>
      <c r="L151">
        <f t="shared" si="36"/>
        <v>0.7142857142857143</v>
      </c>
      <c r="M151">
        <f t="shared" si="37"/>
        <v>1</v>
      </c>
      <c r="N151">
        <v>1.357142857142857</v>
      </c>
      <c r="O151">
        <f t="shared" si="38"/>
        <v>9.2857142857142805E-2</v>
      </c>
      <c r="P151">
        <f t="shared" si="39"/>
        <v>0</v>
      </c>
      <c r="Q151">
        <f t="shared" si="40"/>
        <v>4.2857142857142816E-2</v>
      </c>
      <c r="R151">
        <f t="shared" si="41"/>
        <v>0.11428571428571432</v>
      </c>
      <c r="S151">
        <f t="shared" si="42"/>
        <v>0</v>
      </c>
      <c r="T151">
        <f t="shared" si="43"/>
        <v>0.14285714285714302</v>
      </c>
      <c r="U151">
        <f t="shared" si="44"/>
        <v>0.17038372059823673</v>
      </c>
      <c r="V151">
        <f t="shared" si="45"/>
        <v>0.10227015045197388</v>
      </c>
      <c r="W151">
        <f t="shared" si="46"/>
        <v>0.18294640678379581</v>
      </c>
      <c r="X151">
        <v>0</v>
      </c>
      <c r="Y151">
        <v>69.599999999999994</v>
      </c>
      <c r="Z151">
        <v>4.8</v>
      </c>
      <c r="AA151">
        <v>79.2</v>
      </c>
      <c r="AB151">
        <v>2.8721632653053448</v>
      </c>
      <c r="AC151">
        <v>14.750693877551059</v>
      </c>
      <c r="AD151">
        <v>8.4342857142855792</v>
      </c>
      <c r="AE151">
        <v>1.371428571428583</v>
      </c>
      <c r="AF151">
        <v>27.428571428570351</v>
      </c>
      <c r="AG151">
        <v>162.85714285714289</v>
      </c>
      <c r="AH151">
        <v>190.28571428571331</v>
      </c>
      <c r="AI151">
        <v>180</v>
      </c>
      <c r="AJ151">
        <v>0</v>
      </c>
      <c r="AK151">
        <v>26.742857142857169</v>
      </c>
      <c r="AL151">
        <v>12.34285714285692</v>
      </c>
      <c r="AM151">
        <v>2.742857142857166</v>
      </c>
      <c r="AN151">
        <v>5.7443265306106897</v>
      </c>
      <c r="AO151">
        <v>2.758530612244956</v>
      </c>
      <c r="AP151">
        <v>4.5257142857142352</v>
      </c>
      <c r="AQ151">
        <v>0</v>
      </c>
    </row>
    <row r="152" spans="1:43" x14ac:dyDescent="0.2">
      <c r="A152">
        <v>334</v>
      </c>
      <c r="B152">
        <v>32.5</v>
      </c>
      <c r="C152">
        <v>416.66666666666669</v>
      </c>
      <c r="D152">
        <v>416.66666666666669</v>
      </c>
      <c r="E152">
        <v>750</v>
      </c>
      <c r="F152">
        <f t="shared" si="34"/>
        <v>833.33333333333337</v>
      </c>
      <c r="G152">
        <f t="shared" si="35"/>
        <v>1166.6666666666667</v>
      </c>
      <c r="H152">
        <v>1583.333333333333</v>
      </c>
      <c r="I152">
        <v>0.38461538461538458</v>
      </c>
      <c r="J152">
        <v>0.38461538461538458</v>
      </c>
      <c r="K152">
        <v>0.6923076923076924</v>
      </c>
      <c r="L152">
        <f t="shared" si="36"/>
        <v>0.76923076923076927</v>
      </c>
      <c r="M152">
        <f t="shared" si="37"/>
        <v>1.0769230769230771</v>
      </c>
      <c r="N152">
        <v>1.4615384615384619</v>
      </c>
      <c r="O152">
        <f t="shared" si="38"/>
        <v>6.538461538461543E-2</v>
      </c>
      <c r="P152">
        <f t="shared" si="39"/>
        <v>0</v>
      </c>
      <c r="Q152">
        <f t="shared" si="40"/>
        <v>9.2307692307692424E-2</v>
      </c>
      <c r="R152">
        <f t="shared" si="41"/>
        <v>0.13076923076923075</v>
      </c>
      <c r="S152">
        <f t="shared" si="42"/>
        <v>2.6923076923077091E-2</v>
      </c>
      <c r="T152">
        <f t="shared" si="43"/>
        <v>3.8461538461538103E-2</v>
      </c>
      <c r="U152">
        <f t="shared" si="44"/>
        <v>7.585801124352301E-2</v>
      </c>
      <c r="V152">
        <f t="shared" si="45"/>
        <v>0.1131187782296366</v>
      </c>
      <c r="W152">
        <f t="shared" si="46"/>
        <v>0.13894147590914177</v>
      </c>
      <c r="X152">
        <v>0</v>
      </c>
      <c r="Y152">
        <v>54</v>
      </c>
      <c r="Z152">
        <v>115.2</v>
      </c>
      <c r="AA152">
        <v>76.8</v>
      </c>
      <c r="AB152">
        <v>6.202508875739416</v>
      </c>
      <c r="AC152">
        <v>6.1021065088757389</v>
      </c>
      <c r="AD152">
        <v>13.72615384615375</v>
      </c>
      <c r="AE152">
        <v>0.73846153846166596</v>
      </c>
      <c r="AF152">
        <v>26.76923076923045</v>
      </c>
      <c r="AG152">
        <v>175.38461538461539</v>
      </c>
      <c r="AH152">
        <v>202.15384615384579</v>
      </c>
      <c r="AI152">
        <v>180</v>
      </c>
      <c r="AJ152">
        <v>0</v>
      </c>
      <c r="AK152">
        <v>7.8461538461538209</v>
      </c>
      <c r="AL152">
        <v>15.046153846153659</v>
      </c>
      <c r="AM152">
        <v>1.4769230769233319</v>
      </c>
      <c r="AN152">
        <v>12.40501775147883</v>
      </c>
      <c r="AO152">
        <v>4.3580591715976578</v>
      </c>
      <c r="AP152">
        <v>12.40615384615384</v>
      </c>
      <c r="AQ152">
        <v>0</v>
      </c>
    </row>
    <row r="153" spans="1:43" x14ac:dyDescent="0.2">
      <c r="A153">
        <v>334</v>
      </c>
      <c r="B153">
        <v>30</v>
      </c>
      <c r="C153">
        <v>416.66666666666669</v>
      </c>
      <c r="D153">
        <v>416.66666666666669</v>
      </c>
      <c r="E153">
        <v>750</v>
      </c>
      <c r="F153">
        <f t="shared" si="34"/>
        <v>833.33333333333337</v>
      </c>
      <c r="G153">
        <f t="shared" si="35"/>
        <v>1166.6666666666667</v>
      </c>
      <c r="H153">
        <v>1583.333333333333</v>
      </c>
      <c r="I153">
        <v>0.41666666666666669</v>
      </c>
      <c r="J153">
        <v>0.41666666666666669</v>
      </c>
      <c r="K153">
        <v>0.75</v>
      </c>
      <c r="L153">
        <f t="shared" si="36"/>
        <v>0.83333333333333337</v>
      </c>
      <c r="M153">
        <f t="shared" si="37"/>
        <v>1.1666666666666667</v>
      </c>
      <c r="N153">
        <v>1.583333333333333</v>
      </c>
      <c r="O153">
        <f t="shared" si="38"/>
        <v>3.3333333333333326E-2</v>
      </c>
      <c r="P153">
        <f t="shared" si="39"/>
        <v>0</v>
      </c>
      <c r="Q153">
        <f t="shared" si="40"/>
        <v>0.15000000000000002</v>
      </c>
      <c r="R153">
        <f t="shared" si="41"/>
        <v>6.6666666666666652E-2</v>
      </c>
      <c r="S153">
        <f t="shared" si="42"/>
        <v>0.11666666666666674</v>
      </c>
      <c r="T153">
        <f t="shared" si="43"/>
        <v>8.3333333333333037E-2</v>
      </c>
      <c r="U153">
        <f t="shared" si="44"/>
        <v>8.9752746785574794E-2</v>
      </c>
      <c r="V153">
        <f t="shared" si="45"/>
        <v>0.15365907428821482</v>
      </c>
      <c r="W153">
        <f t="shared" si="46"/>
        <v>0.15811388300841886</v>
      </c>
      <c r="X153">
        <v>0</v>
      </c>
      <c r="Y153">
        <v>45.6</v>
      </c>
      <c r="Z153">
        <v>103.2</v>
      </c>
      <c r="AA153">
        <v>56.4</v>
      </c>
      <c r="AB153">
        <v>8.2559999999997675</v>
      </c>
      <c r="AC153">
        <v>1.983999999999934</v>
      </c>
      <c r="AD153">
        <v>7.3599999999999763</v>
      </c>
      <c r="AE153">
        <v>8.3999999999999186</v>
      </c>
      <c r="AF153">
        <v>25.999999999999631</v>
      </c>
      <c r="AG153">
        <v>190</v>
      </c>
      <c r="AH153">
        <v>215.9999999999996</v>
      </c>
      <c r="AI153">
        <v>180</v>
      </c>
      <c r="AJ153">
        <v>0</v>
      </c>
      <c r="AK153">
        <v>0</v>
      </c>
      <c r="AL153">
        <v>3.2</v>
      </c>
      <c r="AM153">
        <v>16.799999999999841</v>
      </c>
      <c r="AN153">
        <v>16.511999999999539</v>
      </c>
      <c r="AO153">
        <v>3.9679999999998681</v>
      </c>
      <c r="AP153">
        <v>11.51999999999995</v>
      </c>
      <c r="AQ153">
        <v>0</v>
      </c>
    </row>
    <row r="154" spans="1:43" x14ac:dyDescent="0.2">
      <c r="A154">
        <v>334</v>
      </c>
      <c r="B154">
        <v>27.5</v>
      </c>
      <c r="C154">
        <v>416.66666666666669</v>
      </c>
      <c r="D154">
        <v>416.66666666666669</v>
      </c>
      <c r="E154">
        <v>750</v>
      </c>
      <c r="F154">
        <f t="shared" si="34"/>
        <v>833.33333333333337</v>
      </c>
      <c r="G154">
        <f t="shared" si="35"/>
        <v>1166.6666666666667</v>
      </c>
      <c r="H154">
        <v>1583.333333333333</v>
      </c>
      <c r="I154">
        <v>0.45454545454545459</v>
      </c>
      <c r="J154">
        <v>0.45454545454545459</v>
      </c>
      <c r="K154">
        <v>0.81818181818181823</v>
      </c>
      <c r="L154">
        <f t="shared" si="36"/>
        <v>0.90909090909090917</v>
      </c>
      <c r="M154">
        <f t="shared" si="37"/>
        <v>1.2727272727272729</v>
      </c>
      <c r="N154">
        <v>1.727272727272728</v>
      </c>
      <c r="O154">
        <f t="shared" si="38"/>
        <v>0</v>
      </c>
      <c r="P154">
        <f t="shared" si="39"/>
        <v>0</v>
      </c>
      <c r="Q154">
        <f t="shared" si="40"/>
        <v>8.181818181818179E-2</v>
      </c>
      <c r="R154">
        <f t="shared" si="41"/>
        <v>0</v>
      </c>
      <c r="S154">
        <f t="shared" si="42"/>
        <v>0.17727272727272708</v>
      </c>
      <c r="T154">
        <f t="shared" si="43"/>
        <v>0.22727272727272796</v>
      </c>
      <c r="U154">
        <f t="shared" si="44"/>
        <v>0.22727272727272796</v>
      </c>
      <c r="V154">
        <f t="shared" si="45"/>
        <v>8.181818181818179E-2</v>
      </c>
      <c r="W154">
        <f t="shared" si="46"/>
        <v>0.28823343386341299</v>
      </c>
      <c r="X154">
        <v>0</v>
      </c>
      <c r="Y154">
        <v>54</v>
      </c>
      <c r="Z154">
        <v>108</v>
      </c>
      <c r="AA154">
        <v>33.6</v>
      </c>
      <c r="AB154">
        <v>0.30545454545455059</v>
      </c>
      <c r="AC154">
        <v>0.13090909090897179</v>
      </c>
      <c r="AD154">
        <v>0</v>
      </c>
      <c r="AE154">
        <v>26.836363636363401</v>
      </c>
      <c r="AF154">
        <v>27.27272727272674</v>
      </c>
      <c r="AG154">
        <v>207.27272727272731</v>
      </c>
      <c r="AH154">
        <v>234.54545454545399</v>
      </c>
      <c r="AI154">
        <v>180</v>
      </c>
      <c r="AJ154">
        <v>0</v>
      </c>
      <c r="AK154">
        <v>0</v>
      </c>
      <c r="AL154">
        <v>0</v>
      </c>
      <c r="AM154">
        <v>53.672727272726803</v>
      </c>
      <c r="AN154">
        <v>0.61090909090910117</v>
      </c>
      <c r="AO154">
        <v>0.2618181818179437</v>
      </c>
      <c r="AP154">
        <v>0</v>
      </c>
      <c r="AQ154">
        <v>0</v>
      </c>
    </row>
    <row r="155" spans="1:43" x14ac:dyDescent="0.2">
      <c r="A155">
        <v>334</v>
      </c>
      <c r="B155">
        <v>25</v>
      </c>
      <c r="C155">
        <v>416.66666666666669</v>
      </c>
      <c r="D155">
        <v>416.66666666666669</v>
      </c>
      <c r="E155">
        <v>750</v>
      </c>
      <c r="F155">
        <f t="shared" si="34"/>
        <v>833.33333333333337</v>
      </c>
      <c r="G155">
        <f t="shared" si="35"/>
        <v>1166.6666666666667</v>
      </c>
      <c r="H155">
        <v>1583.333333333333</v>
      </c>
      <c r="I155">
        <v>0.5</v>
      </c>
      <c r="J155">
        <v>0.5</v>
      </c>
      <c r="K155">
        <v>0.89999999999999991</v>
      </c>
      <c r="L155">
        <f t="shared" si="36"/>
        <v>1</v>
      </c>
      <c r="M155">
        <f t="shared" si="37"/>
        <v>1.4000000000000001</v>
      </c>
      <c r="N155">
        <v>1.9</v>
      </c>
      <c r="O155">
        <f t="shared" si="38"/>
        <v>0</v>
      </c>
      <c r="P155">
        <f t="shared" si="39"/>
        <v>0</v>
      </c>
      <c r="Q155">
        <f t="shared" si="40"/>
        <v>0</v>
      </c>
      <c r="R155">
        <f t="shared" si="41"/>
        <v>0</v>
      </c>
      <c r="S155">
        <f t="shared" si="42"/>
        <v>4.9999999999999878E-2</v>
      </c>
      <c r="T155">
        <f t="shared" si="43"/>
        <v>0.10000000000000009</v>
      </c>
      <c r="U155">
        <f t="shared" si="44"/>
        <v>0.10000000000000009</v>
      </c>
      <c r="V155">
        <f t="shared" si="45"/>
        <v>0</v>
      </c>
      <c r="W155">
        <f t="shared" si="46"/>
        <v>0.11180339887498951</v>
      </c>
      <c r="X155">
        <v>0</v>
      </c>
      <c r="Y155">
        <v>60</v>
      </c>
      <c r="Z155">
        <v>115.2</v>
      </c>
      <c r="AA155">
        <v>4.8</v>
      </c>
      <c r="AB155">
        <v>0</v>
      </c>
      <c r="AC155">
        <v>2.4</v>
      </c>
      <c r="AD155">
        <v>1.19999999999996</v>
      </c>
      <c r="AE155">
        <v>8.3999999999999204</v>
      </c>
      <c r="AF155">
        <v>11.999999999999799</v>
      </c>
      <c r="AG155">
        <v>228</v>
      </c>
      <c r="AH155">
        <v>239.9999999999998</v>
      </c>
      <c r="AI155">
        <v>180</v>
      </c>
      <c r="AJ155">
        <v>0</v>
      </c>
      <c r="AK155">
        <v>0</v>
      </c>
      <c r="AL155">
        <v>0</v>
      </c>
      <c r="AM155">
        <v>16.799999999999841</v>
      </c>
      <c r="AN155">
        <v>0</v>
      </c>
      <c r="AO155">
        <v>4.8</v>
      </c>
      <c r="AP155">
        <v>2.3999999999999191</v>
      </c>
      <c r="AQ155">
        <v>0</v>
      </c>
    </row>
    <row r="156" spans="1:43" x14ac:dyDescent="0.2">
      <c r="A156">
        <v>334</v>
      </c>
      <c r="B156">
        <v>22.5</v>
      </c>
      <c r="C156">
        <v>416.66666666666669</v>
      </c>
      <c r="D156">
        <v>416.66666666666669</v>
      </c>
      <c r="E156">
        <v>750</v>
      </c>
      <c r="F156">
        <f t="shared" si="34"/>
        <v>833.33333333333337</v>
      </c>
      <c r="G156">
        <f t="shared" si="35"/>
        <v>1166.6666666666667</v>
      </c>
      <c r="H156">
        <v>1583.333333333333</v>
      </c>
      <c r="I156">
        <v>0.55555555555555558</v>
      </c>
      <c r="J156">
        <v>0.55555555555555558</v>
      </c>
      <c r="K156">
        <v>1</v>
      </c>
      <c r="L156">
        <f t="shared" si="36"/>
        <v>1.1111111111111112</v>
      </c>
      <c r="M156">
        <f t="shared" si="37"/>
        <v>1.5555555555555556</v>
      </c>
      <c r="N156">
        <v>2.1111111111111112</v>
      </c>
      <c r="O156">
        <f t="shared" si="38"/>
        <v>5.5555555555555358E-3</v>
      </c>
      <c r="P156">
        <f t="shared" si="39"/>
        <v>0</v>
      </c>
      <c r="Q156">
        <f t="shared" si="40"/>
        <v>0</v>
      </c>
      <c r="R156">
        <f t="shared" si="41"/>
        <v>1.1111111111111155E-2</v>
      </c>
      <c r="S156">
        <f t="shared" si="42"/>
        <v>5.5555555555555358E-3</v>
      </c>
      <c r="T156">
        <f t="shared" si="43"/>
        <v>0.11111111111111116</v>
      </c>
      <c r="U156">
        <f t="shared" si="44"/>
        <v>0.11124991330278219</v>
      </c>
      <c r="V156">
        <f t="shared" si="45"/>
        <v>5.5555555555555358E-3</v>
      </c>
      <c r="W156">
        <f t="shared" si="46"/>
        <v>0.11180339887498954</v>
      </c>
      <c r="X156">
        <v>0</v>
      </c>
      <c r="Y156">
        <v>42</v>
      </c>
      <c r="Z156">
        <v>88.8</v>
      </c>
      <c r="AA156">
        <v>112.8</v>
      </c>
      <c r="AB156">
        <v>0.88000000000004852</v>
      </c>
      <c r="AC156">
        <v>7.253333333333285</v>
      </c>
      <c r="AD156">
        <v>2.3600000000000159</v>
      </c>
      <c r="AE156">
        <v>2.8399999999998218</v>
      </c>
      <c r="AF156">
        <v>13.33333333333275</v>
      </c>
      <c r="AG156">
        <v>253.33333333333329</v>
      </c>
      <c r="AH156">
        <v>266.66666666666612</v>
      </c>
      <c r="AI156">
        <v>180</v>
      </c>
      <c r="AJ156">
        <v>0</v>
      </c>
      <c r="AK156">
        <v>10.133333333333249</v>
      </c>
      <c r="AL156">
        <v>4.7200000000000326</v>
      </c>
      <c r="AM156">
        <v>5.6799999999996436</v>
      </c>
      <c r="AN156">
        <v>1.760000000000097</v>
      </c>
      <c r="AO156">
        <v>4.3733333333333171</v>
      </c>
      <c r="AP156">
        <v>0</v>
      </c>
      <c r="AQ156">
        <v>0</v>
      </c>
    </row>
    <row r="157" spans="1:43" x14ac:dyDescent="0.2">
      <c r="A157">
        <v>334</v>
      </c>
      <c r="B157">
        <v>20</v>
      </c>
      <c r="C157">
        <v>416.66666666666669</v>
      </c>
      <c r="D157">
        <v>416.66666666666669</v>
      </c>
      <c r="E157">
        <v>750</v>
      </c>
      <c r="F157">
        <f t="shared" si="34"/>
        <v>833.33333333333337</v>
      </c>
      <c r="G157">
        <f t="shared" si="35"/>
        <v>1166.6666666666667</v>
      </c>
      <c r="H157">
        <v>1583.333333333333</v>
      </c>
      <c r="I157">
        <v>0.62500000000000011</v>
      </c>
      <c r="J157">
        <v>0.62500000000000011</v>
      </c>
      <c r="K157">
        <v>1.125</v>
      </c>
      <c r="L157">
        <f t="shared" si="36"/>
        <v>1.2500000000000002</v>
      </c>
      <c r="M157">
        <f t="shared" si="37"/>
        <v>1.7500000000000002</v>
      </c>
      <c r="N157">
        <v>2.375</v>
      </c>
      <c r="O157">
        <f t="shared" si="38"/>
        <v>7.5000000000000067E-2</v>
      </c>
      <c r="P157">
        <f t="shared" si="39"/>
        <v>0</v>
      </c>
      <c r="Q157">
        <f t="shared" si="40"/>
        <v>2.4999999999999994E-2</v>
      </c>
      <c r="R157">
        <f t="shared" si="41"/>
        <v>0.1499999999999998</v>
      </c>
      <c r="S157">
        <f t="shared" si="42"/>
        <v>0.19999999999999973</v>
      </c>
      <c r="T157">
        <f t="shared" si="43"/>
        <v>0.125</v>
      </c>
      <c r="U157">
        <f t="shared" si="44"/>
        <v>0.14577379737113255</v>
      </c>
      <c r="V157">
        <f t="shared" si="45"/>
        <v>7.9056941504209541E-2</v>
      </c>
      <c r="W157">
        <f t="shared" si="46"/>
        <v>0.27950849718747339</v>
      </c>
      <c r="X157">
        <v>0</v>
      </c>
      <c r="Y157">
        <v>37.200000000000003</v>
      </c>
      <c r="Z157">
        <v>68.399999999999991</v>
      </c>
      <c r="AA157">
        <v>85.2</v>
      </c>
      <c r="AB157">
        <v>1.8629999999993341</v>
      </c>
      <c r="AC157">
        <v>11.21699999999983</v>
      </c>
      <c r="AD157">
        <v>11.880000000000051</v>
      </c>
      <c r="AE157">
        <v>8.0399999999999032</v>
      </c>
      <c r="AF157">
        <v>32.999999999999183</v>
      </c>
      <c r="AG157">
        <v>285</v>
      </c>
      <c r="AH157">
        <v>317.9999999999992</v>
      </c>
      <c r="AI157">
        <v>180</v>
      </c>
      <c r="AJ157">
        <v>0</v>
      </c>
      <c r="AK157">
        <v>20.639999999999819</v>
      </c>
      <c r="AL157">
        <v>19.08000000000013</v>
      </c>
      <c r="AM157">
        <v>16.07999999999981</v>
      </c>
      <c r="AN157">
        <v>3.7259999999986682</v>
      </c>
      <c r="AO157">
        <v>1.7939999999998291</v>
      </c>
      <c r="AP157">
        <v>4.6799999999999677</v>
      </c>
      <c r="AQ157">
        <v>0</v>
      </c>
    </row>
  </sheetData>
  <phoneticPr fontId="2"/>
  <conditionalFormatting sqref="I2:I157">
    <cfRule type="cellIs" dxfId="17" priority="20" operator="between">
      <formula>0.95</formula>
      <formula>1.05</formula>
    </cfRule>
    <cfRule type="cellIs" dxfId="16" priority="21" operator="between">
      <formula>0.45</formula>
      <formula>0.55</formula>
    </cfRule>
  </conditionalFormatting>
  <conditionalFormatting sqref="J2:J157">
    <cfRule type="cellIs" dxfId="15" priority="18" operator="between">
      <formula>0.85</formula>
      <formula>1.15</formula>
    </cfRule>
    <cfRule type="cellIs" dxfId="14" priority="19" operator="between">
      <formula>0.35</formula>
      <formula>0.65</formula>
    </cfRule>
  </conditionalFormatting>
  <conditionalFormatting sqref="K2:L157">
    <cfRule type="cellIs" dxfId="13" priority="14" operator="between">
      <formula>0.9</formula>
      <formula>1.1</formula>
    </cfRule>
    <cfRule type="cellIs" dxfId="12" priority="15" operator="between">
      <formula>0.4</formula>
      <formula>0.6</formula>
    </cfRule>
  </conditionalFormatting>
  <conditionalFormatting sqref="L2:L157">
    <cfRule type="cellIs" dxfId="11" priority="11" operator="between">
      <formula>2.4</formula>
      <formula>2.6</formula>
    </cfRule>
    <cfRule type="cellIs" dxfId="10" priority="12" operator="between">
      <formula>1.9</formula>
      <formula>2.1</formula>
    </cfRule>
    <cfRule type="cellIs" dxfId="9" priority="13" operator="between">
      <formula>1.4</formula>
      <formula>1.6</formula>
    </cfRule>
  </conditionalFormatting>
  <conditionalFormatting sqref="M2:M157">
    <cfRule type="cellIs" dxfId="8" priority="6" operator="between">
      <formula>2.45</formula>
      <formula>2.55</formula>
    </cfRule>
    <cfRule type="cellIs" dxfId="7" priority="7" operator="between">
      <formula>1.95</formula>
      <formula>2.05</formula>
    </cfRule>
    <cfRule type="cellIs" dxfId="6" priority="8" operator="between">
      <formula>1.45</formula>
      <formula>1.55</formula>
    </cfRule>
    <cfRule type="cellIs" dxfId="5" priority="9" operator="between">
      <formula>0.95</formula>
      <formula>1.05</formula>
    </cfRule>
    <cfRule type="cellIs" dxfId="4" priority="10" operator="between">
      <formula>0.45</formula>
      <formula>0.55</formula>
    </cfRule>
  </conditionalFormatting>
  <conditionalFormatting sqref="N2:N157">
    <cfRule type="expression" dxfId="3" priority="1">
      <formula>OR(N2=0.25, N2=0.75, N2=1.25, N2=1.75, N2=2.25, N2=2.75, N2=3.25, N2=3.75)</formula>
    </cfRule>
    <cfRule type="expression" dxfId="2" priority="2">
      <formula>OR(N2=0.5, N2=1, N2=1.5, N2=2, N2=2.5, N2=3, N2=3.5, N2=4)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0299-BB08-4572-A462-6844188D7A6E}">
  <dimension ref="A1:AH158"/>
  <sheetViews>
    <sheetView workbookViewId="0">
      <selection activeCell="I67" sqref="I67"/>
    </sheetView>
  </sheetViews>
  <sheetFormatPr defaultRowHeight="13.2" x14ac:dyDescent="0.2"/>
  <cols>
    <col min="19" max="19" width="13" customWidth="1"/>
    <col min="23" max="23" width="11.88671875" customWidth="1"/>
    <col min="24" max="24" width="14.441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32</v>
      </c>
      <c r="M1" s="1" t="s">
        <v>33</v>
      </c>
      <c r="N1" s="1" t="s">
        <v>34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</row>
    <row r="2" spans="1:34" x14ac:dyDescent="0.2">
      <c r="A2">
        <v>311</v>
      </c>
      <c r="B2">
        <v>50</v>
      </c>
      <c r="C2">
        <v>416.66666666666703</v>
      </c>
      <c r="D2">
        <v>500</v>
      </c>
      <c r="E2">
        <v>416.66666666666669</v>
      </c>
      <c r="F2">
        <f t="shared" ref="F2:G33" si="0">C2+D2</f>
        <v>916.66666666666697</v>
      </c>
      <c r="G2">
        <f t="shared" si="0"/>
        <v>916.66666666666674</v>
      </c>
      <c r="H2">
        <v>1333.333333333333</v>
      </c>
      <c r="I2">
        <v>0.25000000000000022</v>
      </c>
      <c r="J2">
        <v>0.3</v>
      </c>
      <c r="K2">
        <v>0.25</v>
      </c>
      <c r="L2">
        <f t="shared" ref="L2:M33" si="1">F2/(120*$B2*1000/3600)</f>
        <v>0.55000000000000016</v>
      </c>
      <c r="M2">
        <f t="shared" si="1"/>
        <v>0.55000000000000004</v>
      </c>
      <c r="N2">
        <v>0.80000000000000027</v>
      </c>
      <c r="O2">
        <v>0</v>
      </c>
      <c r="P2">
        <v>116.4</v>
      </c>
      <c r="Q2">
        <v>58.8</v>
      </c>
      <c r="R2">
        <v>86.399999999999991</v>
      </c>
      <c r="S2">
        <v>12.67199999999983</v>
      </c>
      <c r="T2">
        <v>14.687999999999979</v>
      </c>
      <c r="U2">
        <v>19.439999999999859</v>
      </c>
      <c r="V2">
        <v>1.1999999999999189</v>
      </c>
      <c r="W2">
        <v>47.999999999999453</v>
      </c>
      <c r="X2">
        <v>96.000000000000028</v>
      </c>
      <c r="Y2">
        <v>143.99999999999949</v>
      </c>
      <c r="Z2">
        <v>180</v>
      </c>
      <c r="AA2">
        <v>0</v>
      </c>
      <c r="AB2">
        <v>17.280000000000051</v>
      </c>
      <c r="AC2">
        <v>18.719999999999949</v>
      </c>
      <c r="AD2">
        <v>2.3999999999998378</v>
      </c>
      <c r="AE2">
        <v>25.343999999999671</v>
      </c>
      <c r="AF2">
        <v>12.095999999999909</v>
      </c>
      <c r="AG2">
        <v>20.159999999999769</v>
      </c>
      <c r="AH2">
        <v>0</v>
      </c>
    </row>
    <row r="3" spans="1:34" x14ac:dyDescent="0.2">
      <c r="A3">
        <v>311</v>
      </c>
      <c r="B3">
        <v>47.5</v>
      </c>
      <c r="C3">
        <v>416.66666666666669</v>
      </c>
      <c r="D3">
        <v>500</v>
      </c>
      <c r="E3">
        <v>416.66666666666669</v>
      </c>
      <c r="F3">
        <f t="shared" si="0"/>
        <v>916.66666666666674</v>
      </c>
      <c r="G3">
        <f t="shared" si="0"/>
        <v>916.66666666666674</v>
      </c>
      <c r="H3">
        <v>1333.333333333333</v>
      </c>
      <c r="I3">
        <v>0.26315789473684209</v>
      </c>
      <c r="J3">
        <v>0.31578947368421062</v>
      </c>
      <c r="K3">
        <v>0.26315789473684209</v>
      </c>
      <c r="L3">
        <f t="shared" si="1"/>
        <v>0.57894736842105265</v>
      </c>
      <c r="M3">
        <f t="shared" si="1"/>
        <v>0.57894736842105265</v>
      </c>
      <c r="N3">
        <v>0.8421052631578948</v>
      </c>
      <c r="O3">
        <v>0</v>
      </c>
      <c r="P3">
        <v>2.4</v>
      </c>
      <c r="Q3">
        <v>56.4</v>
      </c>
      <c r="R3">
        <v>82.8</v>
      </c>
      <c r="S3">
        <v>16.989473684210189</v>
      </c>
      <c r="T3">
        <v>15.71999999999999</v>
      </c>
      <c r="U3">
        <v>13.96421052631575</v>
      </c>
      <c r="V3">
        <v>2.589473684210478</v>
      </c>
      <c r="W3">
        <v>49.263157894736118</v>
      </c>
      <c r="X3">
        <v>101.0526315789474</v>
      </c>
      <c r="Y3">
        <v>150.31578947368351</v>
      </c>
      <c r="Z3">
        <v>180</v>
      </c>
      <c r="AA3">
        <v>0</v>
      </c>
      <c r="AB3">
        <v>13.743157894736861</v>
      </c>
      <c r="AC3">
        <v>7.5410526315789159</v>
      </c>
      <c r="AD3">
        <v>5.178947368420955</v>
      </c>
      <c r="AE3">
        <v>33.978947368420393</v>
      </c>
      <c r="AF3">
        <v>17.696842105263119</v>
      </c>
      <c r="AG3">
        <v>20.387368421052571</v>
      </c>
      <c r="AH3">
        <v>0</v>
      </c>
    </row>
    <row r="4" spans="1:34" x14ac:dyDescent="0.2">
      <c r="A4">
        <v>311</v>
      </c>
      <c r="B4">
        <v>45</v>
      </c>
      <c r="C4">
        <v>416.666666666666</v>
      </c>
      <c r="D4">
        <v>500</v>
      </c>
      <c r="E4">
        <v>416.66666666666703</v>
      </c>
      <c r="F4">
        <f t="shared" si="0"/>
        <v>916.66666666666606</v>
      </c>
      <c r="G4">
        <f t="shared" si="0"/>
        <v>916.66666666666697</v>
      </c>
      <c r="H4">
        <v>1333.3333333333301</v>
      </c>
      <c r="I4">
        <v>0.27777777777777729</v>
      </c>
      <c r="J4">
        <v>0.33333333333333331</v>
      </c>
      <c r="K4">
        <v>0.27777777777777801</v>
      </c>
      <c r="L4">
        <f t="shared" si="1"/>
        <v>0.61111111111111072</v>
      </c>
      <c r="M4">
        <f t="shared" si="1"/>
        <v>0.61111111111111127</v>
      </c>
      <c r="N4">
        <v>0.88888888888888873</v>
      </c>
      <c r="O4">
        <v>0</v>
      </c>
      <c r="P4">
        <v>115.2</v>
      </c>
      <c r="Q4">
        <v>40.799999999999997</v>
      </c>
      <c r="R4">
        <v>37.200000000000003</v>
      </c>
      <c r="S4">
        <v>14.26666666666663</v>
      </c>
      <c r="T4">
        <v>16.8</v>
      </c>
      <c r="U4">
        <v>2.9395555555555699</v>
      </c>
      <c r="V4">
        <v>16.66044444444427</v>
      </c>
      <c r="W4">
        <v>50.666666666666103</v>
      </c>
      <c r="X4">
        <v>106.6666666666667</v>
      </c>
      <c r="Y4">
        <v>157.33333333333269</v>
      </c>
      <c r="Z4">
        <v>180</v>
      </c>
      <c r="AA4">
        <v>0</v>
      </c>
      <c r="AB4">
        <v>20.906666666666649</v>
      </c>
      <c r="AC4">
        <v>2.439111111111075</v>
      </c>
      <c r="AD4">
        <v>33.32088888888854</v>
      </c>
      <c r="AE4">
        <v>28.53333333333325</v>
      </c>
      <c r="AF4">
        <v>12.693333333333349</v>
      </c>
      <c r="AG4">
        <v>3.4400000000000648</v>
      </c>
      <c r="AH4">
        <v>0</v>
      </c>
    </row>
    <row r="5" spans="1:34" x14ac:dyDescent="0.2">
      <c r="A5">
        <v>311</v>
      </c>
      <c r="B5">
        <v>42.5</v>
      </c>
      <c r="C5">
        <v>416.666666666666</v>
      </c>
      <c r="D5">
        <v>500</v>
      </c>
      <c r="E5">
        <v>416.66666666666703</v>
      </c>
      <c r="F5">
        <f t="shared" si="0"/>
        <v>916.66666666666606</v>
      </c>
      <c r="G5">
        <f t="shared" si="0"/>
        <v>916.66666666666697</v>
      </c>
      <c r="H5">
        <v>1333.3333333333301</v>
      </c>
      <c r="I5">
        <v>0.29411764705882298</v>
      </c>
      <c r="J5">
        <v>0.3529411764705882</v>
      </c>
      <c r="K5">
        <v>0.29411764705882382</v>
      </c>
      <c r="L5">
        <f t="shared" si="1"/>
        <v>0.64705882352941135</v>
      </c>
      <c r="M5">
        <f t="shared" si="1"/>
        <v>0.64705882352941191</v>
      </c>
      <c r="N5">
        <v>0.94117647058823506</v>
      </c>
      <c r="O5">
        <v>0</v>
      </c>
      <c r="P5">
        <v>4.8</v>
      </c>
      <c r="Q5">
        <v>61.2</v>
      </c>
      <c r="R5">
        <v>88.8</v>
      </c>
      <c r="S5">
        <v>19.562865051902879</v>
      </c>
      <c r="T5">
        <v>14.284193771626249</v>
      </c>
      <c r="U5">
        <v>14.54117647058823</v>
      </c>
      <c r="V5">
        <v>3.847058823529288</v>
      </c>
      <c r="W5">
        <v>52.235294117646689</v>
      </c>
      <c r="X5">
        <v>112.9411764705882</v>
      </c>
      <c r="Y5">
        <v>165.17647058823491</v>
      </c>
      <c r="Z5">
        <v>180</v>
      </c>
      <c r="AA5">
        <v>0</v>
      </c>
      <c r="AB5">
        <v>14.795294117646939</v>
      </c>
      <c r="AC5">
        <v>5.7458823529411651</v>
      </c>
      <c r="AD5">
        <v>7.6941176470585759</v>
      </c>
      <c r="AE5">
        <v>39.125730103805758</v>
      </c>
      <c r="AF5">
        <v>13.773093425605561</v>
      </c>
      <c r="AG5">
        <v>23.33647058823529</v>
      </c>
      <c r="AH5">
        <v>0</v>
      </c>
    </row>
    <row r="6" spans="1:34" x14ac:dyDescent="0.2">
      <c r="A6">
        <v>311</v>
      </c>
      <c r="B6">
        <v>40</v>
      </c>
      <c r="C6">
        <v>416.666666666666</v>
      </c>
      <c r="D6">
        <v>500</v>
      </c>
      <c r="E6">
        <v>416.66666666666703</v>
      </c>
      <c r="F6">
        <f t="shared" si="0"/>
        <v>916.66666666666606</v>
      </c>
      <c r="G6">
        <f t="shared" si="0"/>
        <v>916.66666666666697</v>
      </c>
      <c r="H6">
        <v>1333.3333333333301</v>
      </c>
      <c r="I6">
        <v>0.3124999999999995</v>
      </c>
      <c r="J6">
        <v>0.375</v>
      </c>
      <c r="K6">
        <v>0.31250000000000028</v>
      </c>
      <c r="L6">
        <f t="shared" si="1"/>
        <v>0.68749999999999956</v>
      </c>
      <c r="M6">
        <f t="shared" si="1"/>
        <v>0.68750000000000022</v>
      </c>
      <c r="N6">
        <v>0.99999999999999978</v>
      </c>
      <c r="O6">
        <v>0</v>
      </c>
      <c r="P6">
        <v>28.8</v>
      </c>
      <c r="Q6">
        <v>87.6</v>
      </c>
      <c r="R6">
        <v>82.8</v>
      </c>
      <c r="S6">
        <v>23.51550000000001</v>
      </c>
      <c r="T6">
        <v>1.174499999999979</v>
      </c>
      <c r="U6">
        <v>5.1599999999999753</v>
      </c>
      <c r="V6">
        <v>21.15000000000008</v>
      </c>
      <c r="W6">
        <v>50.999999999999503</v>
      </c>
      <c r="X6">
        <v>120</v>
      </c>
      <c r="Y6">
        <v>170.99999999999949</v>
      </c>
      <c r="Z6">
        <v>180</v>
      </c>
      <c r="AA6">
        <v>0</v>
      </c>
      <c r="AB6">
        <v>0</v>
      </c>
      <c r="AC6">
        <v>5.0999999999999188</v>
      </c>
      <c r="AD6">
        <v>42.300000000000161</v>
      </c>
      <c r="AE6">
        <v>47.031000000000013</v>
      </c>
      <c r="AF6">
        <v>2.348999999999958</v>
      </c>
      <c r="AG6">
        <v>5.2200000000000326</v>
      </c>
      <c r="AH6">
        <v>0</v>
      </c>
    </row>
    <row r="7" spans="1:34" x14ac:dyDescent="0.2">
      <c r="A7">
        <v>311</v>
      </c>
      <c r="B7">
        <v>37.5</v>
      </c>
      <c r="C7">
        <v>416.66666666666498</v>
      </c>
      <c r="D7">
        <v>500</v>
      </c>
      <c r="E7">
        <v>416.66666666666703</v>
      </c>
      <c r="F7">
        <f t="shared" si="0"/>
        <v>916.66666666666492</v>
      </c>
      <c r="G7">
        <f t="shared" si="0"/>
        <v>916.66666666666697</v>
      </c>
      <c r="H7">
        <v>1333.3333333333301</v>
      </c>
      <c r="I7">
        <v>0.33333333333333198</v>
      </c>
      <c r="J7">
        <v>0.4</v>
      </c>
      <c r="K7">
        <v>0.33333333333333359</v>
      </c>
      <c r="L7">
        <f t="shared" si="1"/>
        <v>0.73333333333333195</v>
      </c>
      <c r="M7">
        <f t="shared" si="1"/>
        <v>0.73333333333333361</v>
      </c>
      <c r="N7">
        <v>1.066666666666666</v>
      </c>
      <c r="O7">
        <v>0</v>
      </c>
      <c r="P7">
        <v>31.2</v>
      </c>
      <c r="Q7">
        <v>91.2</v>
      </c>
      <c r="R7">
        <v>82.8</v>
      </c>
      <c r="S7">
        <v>19.15999999999973</v>
      </c>
      <c r="T7">
        <v>0.75999999999997569</v>
      </c>
      <c r="U7">
        <v>3.8800000000000892</v>
      </c>
      <c r="V7">
        <v>24.2</v>
      </c>
      <c r="W7">
        <v>47.999999999999787</v>
      </c>
      <c r="X7">
        <v>127.9999999999999</v>
      </c>
      <c r="Y7">
        <v>175.99999999999969</v>
      </c>
      <c r="Z7">
        <v>180</v>
      </c>
      <c r="AA7">
        <v>0</v>
      </c>
      <c r="AB7">
        <v>0</v>
      </c>
      <c r="AC7">
        <v>3.2000000000001618</v>
      </c>
      <c r="AD7">
        <v>48.4</v>
      </c>
      <c r="AE7">
        <v>38.319999999999467</v>
      </c>
      <c r="AF7">
        <v>1.5199999999999509</v>
      </c>
      <c r="AG7">
        <v>4.5600000000000156</v>
      </c>
      <c r="AH7">
        <v>0</v>
      </c>
    </row>
    <row r="8" spans="1:34" x14ac:dyDescent="0.2">
      <c r="A8">
        <v>311</v>
      </c>
      <c r="B8">
        <v>35</v>
      </c>
      <c r="C8">
        <v>416.66666666666498</v>
      </c>
      <c r="D8">
        <v>500</v>
      </c>
      <c r="E8">
        <v>416.66666666666703</v>
      </c>
      <c r="F8">
        <f t="shared" si="0"/>
        <v>916.66666666666492</v>
      </c>
      <c r="G8">
        <f t="shared" si="0"/>
        <v>916.66666666666697</v>
      </c>
      <c r="H8">
        <v>1333.3333333333301</v>
      </c>
      <c r="I8">
        <v>0.35714285714285571</v>
      </c>
      <c r="J8">
        <v>0.42857142857142849</v>
      </c>
      <c r="K8">
        <v>0.35714285714285737</v>
      </c>
      <c r="L8">
        <f t="shared" si="1"/>
        <v>0.78571428571428414</v>
      </c>
      <c r="M8">
        <f t="shared" si="1"/>
        <v>0.78571428571428592</v>
      </c>
      <c r="N8">
        <v>1.1428571428571419</v>
      </c>
      <c r="O8">
        <v>0</v>
      </c>
      <c r="P8">
        <v>56.4</v>
      </c>
      <c r="Q8">
        <v>0</v>
      </c>
      <c r="R8">
        <v>93.6</v>
      </c>
      <c r="S8">
        <v>4.6285714285715791</v>
      </c>
      <c r="T8">
        <v>6.7714285714286637</v>
      </c>
      <c r="U8">
        <v>6.0857142857142916</v>
      </c>
      <c r="V8">
        <v>25.371428571428499</v>
      </c>
      <c r="W8">
        <v>42.857142857142946</v>
      </c>
      <c r="X8">
        <v>137.142857142857</v>
      </c>
      <c r="Y8">
        <v>180</v>
      </c>
      <c r="Z8">
        <v>180</v>
      </c>
      <c r="AA8">
        <v>0</v>
      </c>
      <c r="AB8">
        <v>13.542857142857329</v>
      </c>
      <c r="AC8">
        <v>12.17142857142858</v>
      </c>
      <c r="AD8">
        <v>50.742857142857012</v>
      </c>
      <c r="AE8">
        <v>9.2571428571431582</v>
      </c>
      <c r="AF8">
        <v>0</v>
      </c>
      <c r="AG8">
        <v>0</v>
      </c>
      <c r="AH8">
        <v>0</v>
      </c>
    </row>
    <row r="9" spans="1:34" x14ac:dyDescent="0.2">
      <c r="A9">
        <v>311</v>
      </c>
      <c r="B9">
        <v>32.5</v>
      </c>
      <c r="C9">
        <v>416.66666666666498</v>
      </c>
      <c r="D9">
        <v>500</v>
      </c>
      <c r="E9">
        <v>416.66666666666703</v>
      </c>
      <c r="F9">
        <f t="shared" si="0"/>
        <v>916.66666666666492</v>
      </c>
      <c r="G9">
        <f t="shared" si="0"/>
        <v>916.66666666666697</v>
      </c>
      <c r="H9">
        <v>1333.3333333333301</v>
      </c>
      <c r="I9">
        <v>0.38461538461538308</v>
      </c>
      <c r="J9">
        <v>0.46153846153846162</v>
      </c>
      <c r="K9">
        <v>0.38461538461538503</v>
      </c>
      <c r="L9">
        <f t="shared" si="1"/>
        <v>0.84615384615384459</v>
      </c>
      <c r="M9">
        <f t="shared" si="1"/>
        <v>0.84615384615384648</v>
      </c>
      <c r="N9">
        <v>1.2307692307692299</v>
      </c>
      <c r="O9">
        <v>0</v>
      </c>
      <c r="P9">
        <v>34.799999999999997</v>
      </c>
      <c r="Q9">
        <v>78</v>
      </c>
      <c r="R9">
        <v>28.8</v>
      </c>
      <c r="S9">
        <v>19.523076923077269</v>
      </c>
      <c r="T9">
        <v>10.707692307692319</v>
      </c>
      <c r="U9">
        <v>1.5230769230768699</v>
      </c>
      <c r="V9">
        <v>0.55384615384634039</v>
      </c>
      <c r="W9">
        <v>32.307692307692427</v>
      </c>
      <c r="X9">
        <v>147.69230769230759</v>
      </c>
      <c r="Y9">
        <v>180</v>
      </c>
      <c r="Z9">
        <v>180</v>
      </c>
      <c r="AA9">
        <v>0</v>
      </c>
      <c r="AB9">
        <v>0</v>
      </c>
      <c r="AC9">
        <v>0</v>
      </c>
      <c r="AD9">
        <v>1.107692307692681</v>
      </c>
      <c r="AE9">
        <v>39.046153846154553</v>
      </c>
      <c r="AF9">
        <v>21.415384615384639</v>
      </c>
      <c r="AG9">
        <v>3.0461538461537399</v>
      </c>
      <c r="AH9">
        <v>0</v>
      </c>
    </row>
    <row r="10" spans="1:34" x14ac:dyDescent="0.2">
      <c r="A10">
        <v>311</v>
      </c>
      <c r="B10">
        <v>30</v>
      </c>
      <c r="C10">
        <v>416.66666666666401</v>
      </c>
      <c r="D10">
        <v>500</v>
      </c>
      <c r="E10">
        <v>416.66666666666703</v>
      </c>
      <c r="F10">
        <f t="shared" si="0"/>
        <v>916.66666666666401</v>
      </c>
      <c r="G10">
        <f t="shared" si="0"/>
        <v>916.66666666666697</v>
      </c>
      <c r="H10">
        <v>1333.3333333333301</v>
      </c>
      <c r="I10">
        <v>0.41666666666666402</v>
      </c>
      <c r="J10">
        <v>0.5</v>
      </c>
      <c r="K10">
        <v>0.41666666666666702</v>
      </c>
      <c r="L10">
        <f t="shared" si="1"/>
        <v>0.91666666666666397</v>
      </c>
      <c r="M10">
        <f t="shared" si="1"/>
        <v>0.91666666666666696</v>
      </c>
      <c r="N10">
        <v>1.333333333333331</v>
      </c>
      <c r="O10">
        <v>0</v>
      </c>
      <c r="P10">
        <v>38.4</v>
      </c>
      <c r="Q10">
        <v>86.399999999999991</v>
      </c>
      <c r="R10">
        <v>40.799999999999997</v>
      </c>
      <c r="S10">
        <v>15.800000000000161</v>
      </c>
      <c r="T10">
        <v>3.8</v>
      </c>
      <c r="U10">
        <v>0</v>
      </c>
      <c r="V10">
        <v>0.40000000000016173</v>
      </c>
      <c r="W10">
        <v>20.000000000000281</v>
      </c>
      <c r="X10">
        <v>159.99999999999969</v>
      </c>
      <c r="Y10">
        <v>180</v>
      </c>
      <c r="Z10">
        <v>180</v>
      </c>
      <c r="AA10">
        <v>0</v>
      </c>
      <c r="AB10">
        <v>0</v>
      </c>
      <c r="AC10">
        <v>0</v>
      </c>
      <c r="AD10">
        <v>0.80000000000032334</v>
      </c>
      <c r="AE10">
        <v>31.600000000000321</v>
      </c>
      <c r="AF10">
        <v>7.6</v>
      </c>
      <c r="AG10">
        <v>0</v>
      </c>
      <c r="AH10">
        <v>0</v>
      </c>
    </row>
    <row r="11" spans="1:34" x14ac:dyDescent="0.2">
      <c r="A11">
        <v>311</v>
      </c>
      <c r="B11">
        <v>27.5</v>
      </c>
      <c r="C11">
        <v>416.66666666666401</v>
      </c>
      <c r="D11">
        <v>500</v>
      </c>
      <c r="E11">
        <v>416.66666666666703</v>
      </c>
      <c r="F11">
        <f t="shared" si="0"/>
        <v>916.66666666666401</v>
      </c>
      <c r="G11">
        <f t="shared" si="0"/>
        <v>916.66666666666697</v>
      </c>
      <c r="H11">
        <v>1333.3333333333301</v>
      </c>
      <c r="I11">
        <v>0.45454545454545159</v>
      </c>
      <c r="J11">
        <v>0.54545454545454553</v>
      </c>
      <c r="K11">
        <v>0.45454545454545497</v>
      </c>
      <c r="L11">
        <f t="shared" si="1"/>
        <v>0.99999999999999711</v>
      </c>
      <c r="M11">
        <f t="shared" si="1"/>
        <v>1.0000000000000004</v>
      </c>
      <c r="N11">
        <v>1.4545454545454519</v>
      </c>
      <c r="O11">
        <v>0</v>
      </c>
      <c r="P11">
        <v>58.8</v>
      </c>
      <c r="Q11">
        <v>0</v>
      </c>
      <c r="R11">
        <v>58.8</v>
      </c>
      <c r="S11">
        <v>-2.587007151709663E-12</v>
      </c>
      <c r="T11">
        <v>2.127272727272874</v>
      </c>
      <c r="U11">
        <v>3.3272727272727129</v>
      </c>
      <c r="V11">
        <v>-4.8506384094556172E-13</v>
      </c>
      <c r="W11">
        <v>5.4545454545424263</v>
      </c>
      <c r="X11">
        <v>174.54545454545419</v>
      </c>
      <c r="Y11">
        <v>179.9999999999967</v>
      </c>
      <c r="Z11">
        <v>180</v>
      </c>
      <c r="AA11">
        <v>0</v>
      </c>
      <c r="AB11">
        <v>4.2545454545457488</v>
      </c>
      <c r="AC11">
        <v>0</v>
      </c>
      <c r="AD11">
        <v>-9.7012768189112344E-13</v>
      </c>
      <c r="AE11">
        <v>-5.1740143034193253E-12</v>
      </c>
      <c r="AF11">
        <v>0</v>
      </c>
      <c r="AG11">
        <v>6.654545454545425</v>
      </c>
      <c r="AH11">
        <v>0</v>
      </c>
    </row>
    <row r="12" spans="1:34" x14ac:dyDescent="0.2">
      <c r="A12">
        <v>311</v>
      </c>
      <c r="B12">
        <v>25</v>
      </c>
      <c r="C12">
        <v>416.66666666666401</v>
      </c>
      <c r="D12">
        <v>500</v>
      </c>
      <c r="E12">
        <v>416.66666666666703</v>
      </c>
      <c r="F12">
        <f t="shared" si="0"/>
        <v>916.66666666666401</v>
      </c>
      <c r="G12">
        <f t="shared" si="0"/>
        <v>916.66666666666697</v>
      </c>
      <c r="H12">
        <v>1333.3333333333301</v>
      </c>
      <c r="I12">
        <v>0.49999999999999678</v>
      </c>
      <c r="J12">
        <v>0.6</v>
      </c>
      <c r="K12">
        <v>0.50000000000000044</v>
      </c>
      <c r="L12">
        <f t="shared" si="1"/>
        <v>1.0999999999999968</v>
      </c>
      <c r="M12">
        <f t="shared" si="1"/>
        <v>1.1000000000000003</v>
      </c>
      <c r="N12">
        <v>1.599999999999997</v>
      </c>
      <c r="O12">
        <v>0</v>
      </c>
      <c r="P12">
        <v>48</v>
      </c>
      <c r="Q12">
        <v>12</v>
      </c>
      <c r="R12">
        <v>72</v>
      </c>
      <c r="S12">
        <v>2.399999999997656</v>
      </c>
      <c r="T12">
        <v>9.5999999999999197</v>
      </c>
      <c r="U12">
        <v>-2.3848972179823452E-12</v>
      </c>
      <c r="V12">
        <v>0</v>
      </c>
      <c r="W12">
        <v>11.999999999994859</v>
      </c>
      <c r="X12">
        <v>191.99999999999969</v>
      </c>
      <c r="Y12">
        <v>203.99999999999449</v>
      </c>
      <c r="Z12">
        <v>180</v>
      </c>
      <c r="AA12">
        <v>0</v>
      </c>
      <c r="AB12">
        <v>0</v>
      </c>
      <c r="AC12">
        <v>-4.7697944359646903E-12</v>
      </c>
      <c r="AD12">
        <v>0</v>
      </c>
      <c r="AE12">
        <v>4.7999999999953111</v>
      </c>
      <c r="AF12">
        <v>19.199999999999839</v>
      </c>
      <c r="AG12">
        <v>0</v>
      </c>
      <c r="AH12">
        <v>0</v>
      </c>
    </row>
    <row r="13" spans="1:34" x14ac:dyDescent="0.2">
      <c r="A13">
        <v>311</v>
      </c>
      <c r="B13">
        <v>22.5</v>
      </c>
      <c r="C13">
        <v>416.66666666666299</v>
      </c>
      <c r="D13">
        <v>500</v>
      </c>
      <c r="E13">
        <v>416.66666666666703</v>
      </c>
      <c r="F13">
        <f t="shared" si="0"/>
        <v>916.66666666666299</v>
      </c>
      <c r="G13">
        <f t="shared" si="0"/>
        <v>916.66666666666697</v>
      </c>
      <c r="H13">
        <v>1333.3333333333301</v>
      </c>
      <c r="I13">
        <v>0.5555555555555507</v>
      </c>
      <c r="J13">
        <v>0.66666666666666663</v>
      </c>
      <c r="K13">
        <v>0.55555555555555602</v>
      </c>
      <c r="L13">
        <f t="shared" si="1"/>
        <v>1.2222222222222172</v>
      </c>
      <c r="M13">
        <f t="shared" si="1"/>
        <v>1.2222222222222225</v>
      </c>
      <c r="N13">
        <v>1.777777777777773</v>
      </c>
      <c r="O13">
        <v>0</v>
      </c>
      <c r="P13">
        <v>55.2</v>
      </c>
      <c r="Q13">
        <v>3.6</v>
      </c>
      <c r="R13">
        <v>93.6</v>
      </c>
      <c r="S13">
        <v>5.3066666666671356</v>
      </c>
      <c r="T13">
        <v>17.42666666666668</v>
      </c>
      <c r="U13">
        <v>3.8</v>
      </c>
      <c r="V13">
        <v>0.13333333333349501</v>
      </c>
      <c r="W13">
        <v>26.666666666667169</v>
      </c>
      <c r="X13">
        <v>213.3333333333328</v>
      </c>
      <c r="Y13">
        <v>240</v>
      </c>
      <c r="Z13">
        <v>180</v>
      </c>
      <c r="AA13">
        <v>0</v>
      </c>
      <c r="AB13">
        <v>0</v>
      </c>
      <c r="AC13">
        <v>0</v>
      </c>
      <c r="AD13">
        <v>0.26666666666699002</v>
      </c>
      <c r="AE13">
        <v>10.613333333334269</v>
      </c>
      <c r="AF13">
        <v>34.853333333333367</v>
      </c>
      <c r="AG13">
        <v>7.6</v>
      </c>
      <c r="AH13">
        <v>0</v>
      </c>
    </row>
    <row r="14" spans="1:34" x14ac:dyDescent="0.2">
      <c r="A14">
        <v>311</v>
      </c>
      <c r="B14">
        <v>20</v>
      </c>
      <c r="C14">
        <v>416.66666666666299</v>
      </c>
      <c r="D14">
        <v>500</v>
      </c>
      <c r="E14">
        <v>416.66666666666703</v>
      </c>
      <c r="F14">
        <f t="shared" si="0"/>
        <v>916.66666666666299</v>
      </c>
      <c r="G14">
        <f t="shared" si="0"/>
        <v>916.66666666666697</v>
      </c>
      <c r="H14">
        <v>1333.3333333333301</v>
      </c>
      <c r="I14">
        <v>0.62499999999999456</v>
      </c>
      <c r="J14">
        <v>0.75</v>
      </c>
      <c r="K14">
        <v>0.62500000000000056</v>
      </c>
      <c r="L14">
        <f t="shared" si="1"/>
        <v>1.3749999999999947</v>
      </c>
      <c r="M14">
        <f t="shared" si="1"/>
        <v>1.3750000000000004</v>
      </c>
      <c r="N14">
        <v>1.9999999999999949</v>
      </c>
      <c r="O14">
        <v>0</v>
      </c>
      <c r="P14">
        <v>44.4</v>
      </c>
      <c r="Q14">
        <v>63.599999999999987</v>
      </c>
      <c r="R14">
        <v>0</v>
      </c>
      <c r="S14">
        <v>-4.5272625154919103E-12</v>
      </c>
      <c r="T14">
        <v>7.439999999999741</v>
      </c>
      <c r="U14">
        <v>9.8999999999999186</v>
      </c>
      <c r="V14">
        <v>6.6599999999990862</v>
      </c>
      <c r="W14">
        <v>23.999999999994099</v>
      </c>
      <c r="X14">
        <v>239.9999999999994</v>
      </c>
      <c r="Y14">
        <v>263.99999999999352</v>
      </c>
      <c r="Z14">
        <v>180</v>
      </c>
      <c r="AA14">
        <v>0</v>
      </c>
      <c r="AB14">
        <v>14.87999999999948</v>
      </c>
      <c r="AC14">
        <v>19.799999999999841</v>
      </c>
      <c r="AD14">
        <v>13.319999999998171</v>
      </c>
      <c r="AE14">
        <v>-9.054525030983819E-12</v>
      </c>
      <c r="AF14">
        <v>0</v>
      </c>
      <c r="AG14">
        <v>0</v>
      </c>
      <c r="AH14">
        <v>0</v>
      </c>
    </row>
    <row r="15" spans="1:34" x14ac:dyDescent="0.2">
      <c r="A15">
        <v>312</v>
      </c>
      <c r="B15">
        <v>50</v>
      </c>
      <c r="C15">
        <v>583.33333333333337</v>
      </c>
      <c r="D15">
        <v>500</v>
      </c>
      <c r="E15">
        <v>583.33333333333337</v>
      </c>
      <c r="F15">
        <f t="shared" si="0"/>
        <v>1083.3333333333335</v>
      </c>
      <c r="G15">
        <f t="shared" si="0"/>
        <v>1083.3333333333335</v>
      </c>
      <c r="H15">
        <v>1666.666666666667</v>
      </c>
      <c r="I15">
        <v>0.35</v>
      </c>
      <c r="J15">
        <v>0.3</v>
      </c>
      <c r="K15">
        <v>0.35</v>
      </c>
      <c r="L15">
        <f t="shared" si="1"/>
        <v>0.65</v>
      </c>
      <c r="M15">
        <f t="shared" si="1"/>
        <v>0.65</v>
      </c>
      <c r="N15">
        <v>1</v>
      </c>
      <c r="O15">
        <v>0</v>
      </c>
      <c r="P15">
        <v>56.4</v>
      </c>
      <c r="Q15">
        <v>43.2</v>
      </c>
      <c r="R15">
        <v>110.4</v>
      </c>
      <c r="S15">
        <v>5.8799999999999271</v>
      </c>
      <c r="T15">
        <v>11.52000000000003</v>
      </c>
      <c r="U15">
        <v>12.960000000000059</v>
      </c>
      <c r="V15">
        <v>5.6399999999996204</v>
      </c>
      <c r="W15">
        <v>35.999999999999588</v>
      </c>
      <c r="X15">
        <v>120</v>
      </c>
      <c r="Y15">
        <v>155.9999999999996</v>
      </c>
      <c r="Z15">
        <v>180</v>
      </c>
      <c r="AA15">
        <v>0</v>
      </c>
      <c r="AB15">
        <v>14.4</v>
      </c>
      <c r="AC15">
        <v>15.120000000000109</v>
      </c>
      <c r="AD15">
        <v>11.279999999999241</v>
      </c>
      <c r="AE15">
        <v>11.759999999999851</v>
      </c>
      <c r="AF15">
        <v>8.6400000000000645</v>
      </c>
      <c r="AG15">
        <v>10.8</v>
      </c>
      <c r="AH15">
        <v>0</v>
      </c>
    </row>
    <row r="16" spans="1:34" x14ac:dyDescent="0.2">
      <c r="A16">
        <v>312</v>
      </c>
      <c r="B16">
        <v>47.5</v>
      </c>
      <c r="C16">
        <v>583.33333333333337</v>
      </c>
      <c r="D16">
        <v>500</v>
      </c>
      <c r="E16">
        <v>583.33333333333337</v>
      </c>
      <c r="F16">
        <f t="shared" si="0"/>
        <v>1083.3333333333335</v>
      </c>
      <c r="G16">
        <f t="shared" si="0"/>
        <v>1083.3333333333335</v>
      </c>
      <c r="H16">
        <v>1666.666666666667</v>
      </c>
      <c r="I16">
        <v>0.36842105263157898</v>
      </c>
      <c r="J16">
        <v>0.31578947368421062</v>
      </c>
      <c r="K16">
        <v>0.36842105263157898</v>
      </c>
      <c r="L16">
        <f t="shared" si="1"/>
        <v>0.6842105263157896</v>
      </c>
      <c r="M16">
        <f t="shared" si="1"/>
        <v>0.6842105263157896</v>
      </c>
      <c r="N16">
        <v>1.052631578947369</v>
      </c>
      <c r="O16">
        <v>0</v>
      </c>
      <c r="P16">
        <v>45.6</v>
      </c>
      <c r="Q16">
        <v>46.8</v>
      </c>
      <c r="R16">
        <v>116.4</v>
      </c>
      <c r="S16">
        <v>11.80421052631557</v>
      </c>
      <c r="T16">
        <v>11.532631578947379</v>
      </c>
      <c r="U16">
        <v>6.9031578947368368</v>
      </c>
      <c r="V16">
        <v>3.2336842105263921</v>
      </c>
      <c r="W16">
        <v>33.473684210525853</v>
      </c>
      <c r="X16">
        <v>126.31578947368421</v>
      </c>
      <c r="Y16">
        <v>159.78947368421009</v>
      </c>
      <c r="Z16">
        <v>180</v>
      </c>
      <c r="AA16">
        <v>0</v>
      </c>
      <c r="AB16">
        <v>1.389473684210518</v>
      </c>
      <c r="AC16">
        <v>7.6168421052631556</v>
      </c>
      <c r="AD16">
        <v>6.4673684210527833</v>
      </c>
      <c r="AE16">
        <v>23.60842105263113</v>
      </c>
      <c r="AF16">
        <v>21.67578947368424</v>
      </c>
      <c r="AG16">
        <v>6.189473684210518</v>
      </c>
      <c r="AH16">
        <v>0</v>
      </c>
    </row>
    <row r="17" spans="1:34" x14ac:dyDescent="0.2">
      <c r="A17">
        <v>312</v>
      </c>
      <c r="B17">
        <v>45</v>
      </c>
      <c r="C17">
        <v>583.33333333333337</v>
      </c>
      <c r="D17">
        <v>500</v>
      </c>
      <c r="E17">
        <v>583.33333333333337</v>
      </c>
      <c r="F17">
        <f t="shared" si="0"/>
        <v>1083.3333333333335</v>
      </c>
      <c r="G17">
        <f t="shared" si="0"/>
        <v>1083.3333333333335</v>
      </c>
      <c r="H17">
        <v>1666.666666666667</v>
      </c>
      <c r="I17">
        <v>0.3888888888888889</v>
      </c>
      <c r="J17">
        <v>0.33333333333333331</v>
      </c>
      <c r="K17">
        <v>0.3888888888888889</v>
      </c>
      <c r="L17">
        <f t="shared" si="1"/>
        <v>0.72222222222222232</v>
      </c>
      <c r="M17">
        <f t="shared" si="1"/>
        <v>0.72222222222222232</v>
      </c>
      <c r="N17">
        <v>1.1111111111111109</v>
      </c>
      <c r="O17">
        <v>0</v>
      </c>
      <c r="P17">
        <v>51.6</v>
      </c>
      <c r="Q17">
        <v>64.8</v>
      </c>
      <c r="R17">
        <v>16.8</v>
      </c>
      <c r="S17">
        <v>8.9866666666666184</v>
      </c>
      <c r="T17">
        <v>18.946666666666719</v>
      </c>
      <c r="U17">
        <v>1.50666666666661</v>
      </c>
      <c r="V17">
        <v>1.226666666666683</v>
      </c>
      <c r="W17">
        <v>30.66666666666622</v>
      </c>
      <c r="X17">
        <v>133.33333333333329</v>
      </c>
      <c r="Y17">
        <v>163.99999999999949</v>
      </c>
      <c r="Z17">
        <v>180</v>
      </c>
      <c r="AA17">
        <v>0</v>
      </c>
      <c r="AB17">
        <v>4.9333333333333336</v>
      </c>
      <c r="AC17">
        <v>1.679999999999968</v>
      </c>
      <c r="AD17">
        <v>2.453333333333366</v>
      </c>
      <c r="AE17">
        <v>17.97333333333324</v>
      </c>
      <c r="AF17">
        <v>32.9600000000001</v>
      </c>
      <c r="AG17">
        <v>1.333333333333252</v>
      </c>
      <c r="AH17">
        <v>0</v>
      </c>
    </row>
    <row r="18" spans="1:34" x14ac:dyDescent="0.2">
      <c r="A18">
        <v>312</v>
      </c>
      <c r="B18">
        <v>42.5</v>
      </c>
      <c r="C18">
        <v>583.33333333333337</v>
      </c>
      <c r="D18">
        <v>500</v>
      </c>
      <c r="E18">
        <v>583.33333333333337</v>
      </c>
      <c r="F18">
        <f t="shared" si="0"/>
        <v>1083.3333333333335</v>
      </c>
      <c r="G18">
        <f t="shared" si="0"/>
        <v>1083.3333333333335</v>
      </c>
      <c r="H18">
        <v>1666.666666666667</v>
      </c>
      <c r="I18">
        <v>0.41176470588235292</v>
      </c>
      <c r="J18">
        <v>0.3529411764705882</v>
      </c>
      <c r="K18">
        <v>0.41176470588235292</v>
      </c>
      <c r="L18">
        <f t="shared" si="1"/>
        <v>0.76470588235294124</v>
      </c>
      <c r="M18">
        <f t="shared" si="1"/>
        <v>0.76470588235294124</v>
      </c>
      <c r="N18">
        <v>1.1764705882352939</v>
      </c>
      <c r="O18">
        <v>0</v>
      </c>
      <c r="P18">
        <v>55.2</v>
      </c>
      <c r="Q18">
        <v>67.2</v>
      </c>
      <c r="R18">
        <v>20.399999999999999</v>
      </c>
      <c r="S18">
        <v>6.1905882352941664</v>
      </c>
      <c r="T18">
        <v>20.880000000000049</v>
      </c>
      <c r="U18">
        <v>1.9058823529411</v>
      </c>
      <c r="V18">
        <v>1.3764705882354371</v>
      </c>
      <c r="W18">
        <v>30.352941176470281</v>
      </c>
      <c r="X18">
        <v>141.1764705882353</v>
      </c>
      <c r="Y18">
        <v>171.5294117647056</v>
      </c>
      <c r="Z18">
        <v>180</v>
      </c>
      <c r="AA18">
        <v>0</v>
      </c>
      <c r="AB18">
        <v>5.7882352941176372</v>
      </c>
      <c r="AC18">
        <v>3.8117647058822008</v>
      </c>
      <c r="AD18">
        <v>2.7529411764708742</v>
      </c>
      <c r="AE18">
        <v>12.381176470588329</v>
      </c>
      <c r="AF18">
        <v>35.971764705882457</v>
      </c>
      <c r="AG18">
        <v>0</v>
      </c>
      <c r="AH18">
        <v>0</v>
      </c>
    </row>
    <row r="19" spans="1:34" x14ac:dyDescent="0.2">
      <c r="A19">
        <v>312</v>
      </c>
      <c r="B19">
        <v>40</v>
      </c>
      <c r="C19">
        <v>583.33333333333337</v>
      </c>
      <c r="D19">
        <v>500</v>
      </c>
      <c r="E19">
        <v>583.33333333333337</v>
      </c>
      <c r="F19">
        <f t="shared" si="0"/>
        <v>1083.3333333333335</v>
      </c>
      <c r="G19">
        <f t="shared" si="0"/>
        <v>1083.3333333333335</v>
      </c>
      <c r="H19">
        <v>1666.666666666667</v>
      </c>
      <c r="I19">
        <v>0.43750000000000011</v>
      </c>
      <c r="J19">
        <v>0.375</v>
      </c>
      <c r="K19">
        <v>0.43750000000000011</v>
      </c>
      <c r="L19">
        <f t="shared" si="1"/>
        <v>0.81250000000000011</v>
      </c>
      <c r="M19">
        <f t="shared" si="1"/>
        <v>0.81250000000000011</v>
      </c>
      <c r="N19">
        <v>1.25</v>
      </c>
      <c r="O19">
        <v>0</v>
      </c>
      <c r="P19">
        <v>40.799999999999997</v>
      </c>
      <c r="Q19">
        <v>0</v>
      </c>
      <c r="R19">
        <v>52.8</v>
      </c>
      <c r="S19">
        <v>11.25</v>
      </c>
      <c r="T19">
        <v>0</v>
      </c>
      <c r="U19">
        <v>18.600000000000001</v>
      </c>
      <c r="V19">
        <v>0.15</v>
      </c>
      <c r="W19">
        <v>30</v>
      </c>
      <c r="X19">
        <v>150</v>
      </c>
      <c r="Y19">
        <v>180</v>
      </c>
      <c r="Z19">
        <v>180</v>
      </c>
      <c r="AA19">
        <v>0</v>
      </c>
      <c r="AB19">
        <v>0</v>
      </c>
      <c r="AC19">
        <v>22.5</v>
      </c>
      <c r="AD19">
        <v>0.3</v>
      </c>
      <c r="AE19">
        <v>22.5</v>
      </c>
      <c r="AF19">
        <v>0</v>
      </c>
      <c r="AG19">
        <v>14.7</v>
      </c>
      <c r="AH19">
        <v>0</v>
      </c>
    </row>
    <row r="20" spans="1:34" x14ac:dyDescent="0.2">
      <c r="A20">
        <v>312</v>
      </c>
      <c r="B20">
        <v>37.5</v>
      </c>
      <c r="C20">
        <v>583.33333333333337</v>
      </c>
      <c r="D20">
        <v>500</v>
      </c>
      <c r="E20">
        <v>583.33333333333337</v>
      </c>
      <c r="F20">
        <f t="shared" si="0"/>
        <v>1083.3333333333335</v>
      </c>
      <c r="G20">
        <f t="shared" si="0"/>
        <v>1083.3333333333335</v>
      </c>
      <c r="H20">
        <v>1666.666666666667</v>
      </c>
      <c r="I20">
        <v>0.46666666666666667</v>
      </c>
      <c r="J20">
        <v>0.4</v>
      </c>
      <c r="K20">
        <v>0.46666666666666667</v>
      </c>
      <c r="L20">
        <f t="shared" si="1"/>
        <v>0.86666666666666681</v>
      </c>
      <c r="M20">
        <f t="shared" si="1"/>
        <v>0.86666666666666681</v>
      </c>
      <c r="N20">
        <v>1.333333333333333</v>
      </c>
      <c r="O20">
        <v>0</v>
      </c>
      <c r="P20">
        <v>44.4</v>
      </c>
      <c r="Q20">
        <v>0</v>
      </c>
      <c r="R20">
        <v>56.4</v>
      </c>
      <c r="S20">
        <v>8</v>
      </c>
      <c r="T20">
        <v>0</v>
      </c>
      <c r="U20">
        <v>11.800000000000081</v>
      </c>
      <c r="V20">
        <v>0.2</v>
      </c>
      <c r="W20">
        <v>20</v>
      </c>
      <c r="X20">
        <v>160</v>
      </c>
      <c r="Y20">
        <v>180</v>
      </c>
      <c r="Z20">
        <v>180</v>
      </c>
      <c r="AA20">
        <v>0</v>
      </c>
      <c r="AB20">
        <v>0</v>
      </c>
      <c r="AC20">
        <v>16</v>
      </c>
      <c r="AD20">
        <v>0.4</v>
      </c>
      <c r="AE20">
        <v>16</v>
      </c>
      <c r="AF20">
        <v>0</v>
      </c>
      <c r="AG20">
        <v>7.6000000000001613</v>
      </c>
      <c r="AH20">
        <v>0</v>
      </c>
    </row>
    <row r="21" spans="1:34" x14ac:dyDescent="0.2">
      <c r="A21">
        <v>312</v>
      </c>
      <c r="B21">
        <v>35</v>
      </c>
      <c r="C21">
        <v>583.33333333333337</v>
      </c>
      <c r="D21">
        <v>500</v>
      </c>
      <c r="E21">
        <v>583.33333333333337</v>
      </c>
      <c r="F21">
        <f t="shared" si="0"/>
        <v>1083.3333333333335</v>
      </c>
      <c r="G21">
        <f t="shared" si="0"/>
        <v>1083.3333333333335</v>
      </c>
      <c r="H21">
        <v>1666.666666666667</v>
      </c>
      <c r="I21">
        <v>0.5</v>
      </c>
      <c r="J21">
        <v>0.42857142857142849</v>
      </c>
      <c r="K21">
        <v>0.5</v>
      </c>
      <c r="L21">
        <f t="shared" si="1"/>
        <v>0.9285714285714286</v>
      </c>
      <c r="M21">
        <f t="shared" si="1"/>
        <v>0.9285714285714286</v>
      </c>
      <c r="N21">
        <v>1.428571428571429</v>
      </c>
      <c r="O21">
        <v>0</v>
      </c>
      <c r="P21">
        <v>48</v>
      </c>
      <c r="Q21">
        <v>4.8</v>
      </c>
      <c r="R21">
        <v>64.8</v>
      </c>
      <c r="S21">
        <v>1.8857142857143321</v>
      </c>
      <c r="T21">
        <v>0</v>
      </c>
      <c r="U21">
        <v>6.6857142857141696</v>
      </c>
      <c r="V21">
        <v>0</v>
      </c>
      <c r="W21">
        <v>8.5714285714283847</v>
      </c>
      <c r="X21">
        <v>171.42857142857139</v>
      </c>
      <c r="Y21">
        <v>179.9999999999998</v>
      </c>
      <c r="Z21">
        <v>180</v>
      </c>
      <c r="AA21">
        <v>0</v>
      </c>
      <c r="AB21">
        <v>0</v>
      </c>
      <c r="AC21">
        <v>13.371428571428339</v>
      </c>
      <c r="AD21">
        <v>0</v>
      </c>
      <c r="AE21">
        <v>3.7714285714286642</v>
      </c>
      <c r="AF21">
        <v>0</v>
      </c>
      <c r="AG21">
        <v>0</v>
      </c>
      <c r="AH21">
        <v>0</v>
      </c>
    </row>
    <row r="22" spans="1:34" x14ac:dyDescent="0.2">
      <c r="A22">
        <v>312</v>
      </c>
      <c r="B22">
        <v>32.5</v>
      </c>
      <c r="C22">
        <v>583.33333333333337</v>
      </c>
      <c r="D22">
        <v>500</v>
      </c>
      <c r="E22">
        <v>583.33333333333337</v>
      </c>
      <c r="F22">
        <f t="shared" si="0"/>
        <v>1083.3333333333335</v>
      </c>
      <c r="G22">
        <f t="shared" si="0"/>
        <v>1083.3333333333335</v>
      </c>
      <c r="H22">
        <v>1666.666666666667</v>
      </c>
      <c r="I22">
        <v>0.53846153846153855</v>
      </c>
      <c r="J22">
        <v>0.46153846153846162</v>
      </c>
      <c r="K22">
        <v>0.53846153846153855</v>
      </c>
      <c r="L22">
        <f t="shared" si="1"/>
        <v>1.0000000000000002</v>
      </c>
      <c r="M22">
        <f t="shared" si="1"/>
        <v>1.0000000000000002</v>
      </c>
      <c r="N22">
        <v>1.538461538461539</v>
      </c>
      <c r="O22">
        <v>0</v>
      </c>
      <c r="P22">
        <v>46.8</v>
      </c>
      <c r="Q22">
        <v>96</v>
      </c>
      <c r="R22">
        <v>58.8</v>
      </c>
      <c r="S22">
        <v>0.24433136094687341</v>
      </c>
      <c r="T22">
        <v>2.7648994082839229</v>
      </c>
      <c r="U22">
        <v>1.0246153846153501</v>
      </c>
      <c r="V22">
        <v>0.58153846153852806</v>
      </c>
      <c r="W22">
        <v>4.6153846153845137</v>
      </c>
      <c r="X22">
        <v>184.61538461538461</v>
      </c>
      <c r="Y22">
        <v>189.2307692307692</v>
      </c>
      <c r="Z22">
        <v>180</v>
      </c>
      <c r="AA22">
        <v>0</v>
      </c>
      <c r="AB22">
        <v>4.6523076923074971</v>
      </c>
      <c r="AC22">
        <v>0</v>
      </c>
      <c r="AD22">
        <v>1.1630769230770559</v>
      </c>
      <c r="AE22">
        <v>0.48866272189374688</v>
      </c>
      <c r="AF22">
        <v>0.87749112426034925</v>
      </c>
      <c r="AG22">
        <v>2.0492307692307001</v>
      </c>
      <c r="AH22">
        <v>0</v>
      </c>
    </row>
    <row r="23" spans="1:34" x14ac:dyDescent="0.2">
      <c r="A23">
        <v>312</v>
      </c>
      <c r="B23">
        <v>30</v>
      </c>
      <c r="C23">
        <v>583.33333333333337</v>
      </c>
      <c r="D23">
        <v>500</v>
      </c>
      <c r="E23">
        <v>583.33333333333337</v>
      </c>
      <c r="F23">
        <f t="shared" si="0"/>
        <v>1083.3333333333335</v>
      </c>
      <c r="G23">
        <f t="shared" si="0"/>
        <v>1083.3333333333335</v>
      </c>
      <c r="H23">
        <v>1666.666666666667</v>
      </c>
      <c r="I23">
        <v>0.58333333333333337</v>
      </c>
      <c r="J23">
        <v>0.5</v>
      </c>
      <c r="K23">
        <v>0.58333333333333337</v>
      </c>
      <c r="L23">
        <f t="shared" si="1"/>
        <v>1.0833333333333335</v>
      </c>
      <c r="M23">
        <f t="shared" si="1"/>
        <v>1.0833333333333335</v>
      </c>
      <c r="N23">
        <v>1.666666666666667</v>
      </c>
      <c r="O23">
        <v>0</v>
      </c>
      <c r="P23">
        <v>45.6</v>
      </c>
      <c r="Q23">
        <v>93.6</v>
      </c>
      <c r="R23">
        <v>67.2</v>
      </c>
      <c r="S23">
        <v>5.7600000000000966</v>
      </c>
      <c r="T23">
        <v>6.9200000000000328</v>
      </c>
      <c r="U23">
        <v>5.8799999999999679</v>
      </c>
      <c r="V23">
        <v>1.4400000000000239</v>
      </c>
      <c r="W23">
        <v>19.999999999999801</v>
      </c>
      <c r="X23">
        <v>200</v>
      </c>
      <c r="Y23">
        <v>219.9999999999998</v>
      </c>
      <c r="Z23">
        <v>180</v>
      </c>
      <c r="AA23">
        <v>0</v>
      </c>
      <c r="AB23">
        <v>9.9200000000001136</v>
      </c>
      <c r="AC23">
        <v>0</v>
      </c>
      <c r="AD23">
        <v>2.8800000000000479</v>
      </c>
      <c r="AE23">
        <v>11.52000000000019</v>
      </c>
      <c r="AF23">
        <v>3.919999999999952</v>
      </c>
      <c r="AG23">
        <v>11.759999999999939</v>
      </c>
      <c r="AH23">
        <v>0</v>
      </c>
    </row>
    <row r="24" spans="1:34" x14ac:dyDescent="0.2">
      <c r="A24">
        <v>312</v>
      </c>
      <c r="B24">
        <v>27.5</v>
      </c>
      <c r="C24">
        <v>583.33333333333337</v>
      </c>
      <c r="D24">
        <v>500</v>
      </c>
      <c r="E24">
        <v>583.33333333333337</v>
      </c>
      <c r="F24">
        <f t="shared" si="0"/>
        <v>1083.3333333333335</v>
      </c>
      <c r="G24">
        <f t="shared" si="0"/>
        <v>1083.3333333333335</v>
      </c>
      <c r="H24">
        <v>1666.666666666667</v>
      </c>
      <c r="I24">
        <v>0.63636363636363646</v>
      </c>
      <c r="J24">
        <v>0.54545454545454553</v>
      </c>
      <c r="K24">
        <v>0.63636363636363646</v>
      </c>
      <c r="L24">
        <f t="shared" si="1"/>
        <v>1.1818181818181821</v>
      </c>
      <c r="M24">
        <f t="shared" si="1"/>
        <v>1.1818181818181821</v>
      </c>
      <c r="N24">
        <v>1.818181818181819</v>
      </c>
      <c r="O24">
        <v>0</v>
      </c>
      <c r="P24">
        <v>63.599999999999987</v>
      </c>
      <c r="Q24">
        <v>0</v>
      </c>
      <c r="R24">
        <v>97.2</v>
      </c>
      <c r="S24">
        <v>8.3236363636365347</v>
      </c>
      <c r="T24">
        <v>8.8036363636362598</v>
      </c>
      <c r="U24">
        <v>8.8690909090908665</v>
      </c>
      <c r="V24">
        <v>0.18545454545467999</v>
      </c>
      <c r="W24">
        <v>26.181818181818119</v>
      </c>
      <c r="X24">
        <v>218.18181818181819</v>
      </c>
      <c r="Y24">
        <v>244.36363636363629</v>
      </c>
      <c r="Z24">
        <v>180</v>
      </c>
      <c r="AA24">
        <v>0</v>
      </c>
      <c r="AB24">
        <v>0.6109090909088587</v>
      </c>
      <c r="AC24">
        <v>0</v>
      </c>
      <c r="AD24">
        <v>0.37090909090935992</v>
      </c>
      <c r="AE24">
        <v>16.647272727273069</v>
      </c>
      <c r="AF24">
        <v>16.996363636363661</v>
      </c>
      <c r="AG24">
        <v>17.738181818181729</v>
      </c>
      <c r="AH24">
        <v>0</v>
      </c>
    </row>
    <row r="25" spans="1:34" x14ac:dyDescent="0.2">
      <c r="A25">
        <v>312</v>
      </c>
      <c r="B25">
        <v>25</v>
      </c>
      <c r="C25">
        <v>583.33333333333337</v>
      </c>
      <c r="D25">
        <v>500</v>
      </c>
      <c r="E25">
        <v>583.33333333333337</v>
      </c>
      <c r="F25">
        <f t="shared" si="0"/>
        <v>1083.3333333333335</v>
      </c>
      <c r="G25">
        <f t="shared" si="0"/>
        <v>1083.3333333333335</v>
      </c>
      <c r="H25">
        <v>1666.666666666667</v>
      </c>
      <c r="I25">
        <v>0.70000000000000007</v>
      </c>
      <c r="J25">
        <v>0.6</v>
      </c>
      <c r="K25">
        <v>0.70000000000000007</v>
      </c>
      <c r="L25">
        <f t="shared" si="1"/>
        <v>1.3</v>
      </c>
      <c r="M25">
        <f t="shared" si="1"/>
        <v>1.3</v>
      </c>
      <c r="N25">
        <v>2</v>
      </c>
      <c r="O25">
        <v>0</v>
      </c>
      <c r="P25">
        <v>70.8</v>
      </c>
      <c r="Q25">
        <v>33.6</v>
      </c>
      <c r="R25">
        <v>118.8</v>
      </c>
      <c r="S25">
        <v>17.399999999999999</v>
      </c>
      <c r="T25">
        <v>10.91999999999995</v>
      </c>
      <c r="U25">
        <v>7.6679999999998678</v>
      </c>
      <c r="V25">
        <v>1.1999999999736451E-2</v>
      </c>
      <c r="W25">
        <v>35.999999999999432</v>
      </c>
      <c r="X25">
        <v>240</v>
      </c>
      <c r="Y25">
        <v>275.99999999999937</v>
      </c>
      <c r="Z25">
        <v>180</v>
      </c>
      <c r="AA25">
        <v>0</v>
      </c>
      <c r="AB25">
        <v>0.95999999999993535</v>
      </c>
      <c r="AC25">
        <v>0.21599999999986419</v>
      </c>
      <c r="AD25">
        <v>2.3999999999472901E-2</v>
      </c>
      <c r="AE25">
        <v>34.799999999999997</v>
      </c>
      <c r="AF25">
        <v>20.879999999999971</v>
      </c>
      <c r="AG25">
        <v>15.11999999999987</v>
      </c>
      <c r="AH25">
        <v>0</v>
      </c>
    </row>
    <row r="26" spans="1:34" x14ac:dyDescent="0.2">
      <c r="A26">
        <v>312</v>
      </c>
      <c r="B26">
        <v>22.5</v>
      </c>
      <c r="C26">
        <v>583.33333333333337</v>
      </c>
      <c r="D26">
        <v>500</v>
      </c>
      <c r="E26">
        <v>583.33333333333337</v>
      </c>
      <c r="F26">
        <f t="shared" si="0"/>
        <v>1083.3333333333335</v>
      </c>
      <c r="G26">
        <f t="shared" si="0"/>
        <v>1083.3333333333335</v>
      </c>
      <c r="H26">
        <v>1666.666666666667</v>
      </c>
      <c r="I26">
        <v>0.77777777777777779</v>
      </c>
      <c r="J26">
        <v>0.66666666666666663</v>
      </c>
      <c r="K26">
        <v>0.77777777777777779</v>
      </c>
      <c r="L26">
        <f t="shared" si="1"/>
        <v>1.4444444444444446</v>
      </c>
      <c r="M26">
        <f t="shared" si="1"/>
        <v>1.4444444444444446</v>
      </c>
      <c r="N26">
        <v>2.2222222222222219</v>
      </c>
      <c r="O26">
        <v>0</v>
      </c>
      <c r="P26">
        <v>1.2</v>
      </c>
      <c r="Q26">
        <v>54</v>
      </c>
      <c r="R26">
        <v>76.8</v>
      </c>
      <c r="S26">
        <v>6.813333333333139</v>
      </c>
      <c r="T26">
        <v>14.253333333333121</v>
      </c>
      <c r="U26">
        <v>2.8933333333332691</v>
      </c>
      <c r="V26">
        <v>13.37333333333352</v>
      </c>
      <c r="W26">
        <v>37.333333333332938</v>
      </c>
      <c r="X26">
        <v>266.66666666666669</v>
      </c>
      <c r="Y26">
        <v>303.99999999999972</v>
      </c>
      <c r="Z26">
        <v>180</v>
      </c>
      <c r="AA26">
        <v>0</v>
      </c>
      <c r="AB26">
        <v>27.866666666666429</v>
      </c>
      <c r="AC26">
        <v>1.9199999999998709</v>
      </c>
      <c r="AD26">
        <v>26.746666666667039</v>
      </c>
      <c r="AE26">
        <v>13.62666666666628</v>
      </c>
      <c r="AF26">
        <v>0.63999999999982216</v>
      </c>
      <c r="AG26">
        <v>3.8666666666666671</v>
      </c>
      <c r="AH26">
        <v>0</v>
      </c>
    </row>
    <row r="27" spans="1:34" x14ac:dyDescent="0.2">
      <c r="A27">
        <v>312</v>
      </c>
      <c r="B27">
        <v>20</v>
      </c>
      <c r="C27">
        <v>583.33333333333337</v>
      </c>
      <c r="D27">
        <v>500</v>
      </c>
      <c r="E27">
        <v>583.33333333333337</v>
      </c>
      <c r="F27">
        <f t="shared" si="0"/>
        <v>1083.3333333333335</v>
      </c>
      <c r="G27">
        <f t="shared" si="0"/>
        <v>1083.3333333333335</v>
      </c>
      <c r="H27">
        <v>1666.666666666667</v>
      </c>
      <c r="I27">
        <v>0.87500000000000011</v>
      </c>
      <c r="J27">
        <v>0.75</v>
      </c>
      <c r="K27">
        <v>0.87500000000000011</v>
      </c>
      <c r="L27">
        <f t="shared" si="1"/>
        <v>1.6250000000000002</v>
      </c>
      <c r="M27">
        <f t="shared" si="1"/>
        <v>1.6250000000000002</v>
      </c>
      <c r="N27">
        <v>2.5</v>
      </c>
      <c r="O27">
        <v>0</v>
      </c>
      <c r="P27">
        <v>1.2</v>
      </c>
      <c r="Q27">
        <v>52.8</v>
      </c>
      <c r="R27">
        <v>62.4</v>
      </c>
      <c r="S27">
        <v>1.859999999999935</v>
      </c>
      <c r="T27">
        <v>11.939999999999941</v>
      </c>
      <c r="U27">
        <v>7.0200000000000324</v>
      </c>
      <c r="V27">
        <v>3.1799999999999269</v>
      </c>
      <c r="W27">
        <v>23.999999999999631</v>
      </c>
      <c r="X27">
        <v>300</v>
      </c>
      <c r="Y27">
        <v>323.99999999999972</v>
      </c>
      <c r="Z27">
        <v>180</v>
      </c>
      <c r="AA27">
        <v>0</v>
      </c>
      <c r="AB27">
        <v>16.2</v>
      </c>
      <c r="AC27">
        <v>8.6400000000000645</v>
      </c>
      <c r="AD27">
        <v>6.3599999999998547</v>
      </c>
      <c r="AE27">
        <v>3.719999999999871</v>
      </c>
      <c r="AF27">
        <v>7.6799999999998869</v>
      </c>
      <c r="AG27">
        <v>5.4</v>
      </c>
      <c r="AH27">
        <v>0</v>
      </c>
    </row>
    <row r="28" spans="1:34" x14ac:dyDescent="0.2">
      <c r="A28">
        <v>313</v>
      </c>
      <c r="B28">
        <v>50</v>
      </c>
      <c r="C28">
        <v>750</v>
      </c>
      <c r="D28">
        <v>500</v>
      </c>
      <c r="E28">
        <v>750</v>
      </c>
      <c r="F28">
        <f t="shared" si="0"/>
        <v>1250</v>
      </c>
      <c r="G28">
        <f t="shared" si="0"/>
        <v>1250</v>
      </c>
      <c r="H28">
        <v>2000</v>
      </c>
      <c r="I28">
        <v>0.45</v>
      </c>
      <c r="J28">
        <v>0.3</v>
      </c>
      <c r="K28">
        <v>0.45</v>
      </c>
      <c r="L28">
        <f t="shared" si="1"/>
        <v>0.75</v>
      </c>
      <c r="M28">
        <f t="shared" si="1"/>
        <v>0.75</v>
      </c>
      <c r="N28">
        <v>1.2</v>
      </c>
      <c r="O28">
        <v>0</v>
      </c>
      <c r="P28">
        <v>54</v>
      </c>
      <c r="Q28">
        <v>40.799999999999997</v>
      </c>
      <c r="R28">
        <v>118.8</v>
      </c>
      <c r="S28">
        <v>2.2799999999999678</v>
      </c>
      <c r="T28">
        <v>9.1199999999998713</v>
      </c>
      <c r="U28">
        <v>7.5599999999999756</v>
      </c>
      <c r="V28">
        <v>5.039999999999984</v>
      </c>
      <c r="W28">
        <v>23.999999999999911</v>
      </c>
      <c r="X28">
        <v>144</v>
      </c>
      <c r="Y28">
        <v>167.99999999999989</v>
      </c>
      <c r="Z28">
        <v>180</v>
      </c>
      <c r="AA28">
        <v>0</v>
      </c>
      <c r="AB28">
        <v>0</v>
      </c>
      <c r="AC28">
        <v>15.119999999999949</v>
      </c>
      <c r="AD28">
        <v>10.07999999999997</v>
      </c>
      <c r="AE28">
        <v>4.5599999999999357</v>
      </c>
      <c r="AF28">
        <v>18.239999999999739</v>
      </c>
      <c r="AG28">
        <v>0</v>
      </c>
      <c r="AH28">
        <v>0</v>
      </c>
    </row>
    <row r="29" spans="1:34" x14ac:dyDescent="0.2">
      <c r="A29">
        <v>313</v>
      </c>
      <c r="B29">
        <v>47.5</v>
      </c>
      <c r="C29">
        <v>750</v>
      </c>
      <c r="D29">
        <v>500</v>
      </c>
      <c r="E29">
        <v>750</v>
      </c>
      <c r="F29">
        <f t="shared" si="0"/>
        <v>1250</v>
      </c>
      <c r="G29">
        <f t="shared" si="0"/>
        <v>1250</v>
      </c>
      <c r="H29">
        <v>2000</v>
      </c>
      <c r="I29">
        <v>0.47368421052631582</v>
      </c>
      <c r="J29">
        <v>0.31578947368421062</v>
      </c>
      <c r="K29">
        <v>0.47368421052631582</v>
      </c>
      <c r="L29">
        <f t="shared" si="1"/>
        <v>0.78947368421052633</v>
      </c>
      <c r="M29">
        <f t="shared" si="1"/>
        <v>0.78947368421052633</v>
      </c>
      <c r="N29">
        <v>1.263157894736842</v>
      </c>
      <c r="O29">
        <v>0</v>
      </c>
      <c r="P29">
        <v>43.2</v>
      </c>
      <c r="Q29">
        <v>0</v>
      </c>
      <c r="R29">
        <v>80.399999999999991</v>
      </c>
      <c r="S29">
        <v>4.0105263157896438</v>
      </c>
      <c r="T29">
        <v>0.65684210526305831</v>
      </c>
      <c r="U29">
        <v>12.28587257617732</v>
      </c>
      <c r="V29">
        <v>11.467811634349101</v>
      </c>
      <c r="W29">
        <v>28.421052631578959</v>
      </c>
      <c r="X29">
        <v>151.57894736842101</v>
      </c>
      <c r="Y29">
        <v>180</v>
      </c>
      <c r="Z29">
        <v>180</v>
      </c>
      <c r="AA29">
        <v>0</v>
      </c>
      <c r="AB29">
        <v>1.3136842105261171</v>
      </c>
      <c r="AC29">
        <v>24.571745152354641</v>
      </c>
      <c r="AD29">
        <v>22.935623268698201</v>
      </c>
      <c r="AE29">
        <v>8.0210526315792876</v>
      </c>
      <c r="AF29">
        <v>0</v>
      </c>
      <c r="AG29">
        <v>0</v>
      </c>
      <c r="AH29">
        <v>0</v>
      </c>
    </row>
    <row r="30" spans="1:34" x14ac:dyDescent="0.2">
      <c r="A30">
        <v>313</v>
      </c>
      <c r="B30">
        <v>45</v>
      </c>
      <c r="C30">
        <v>750</v>
      </c>
      <c r="D30">
        <v>500</v>
      </c>
      <c r="E30">
        <v>750</v>
      </c>
      <c r="F30">
        <f t="shared" si="0"/>
        <v>1250</v>
      </c>
      <c r="G30">
        <f t="shared" si="0"/>
        <v>1250</v>
      </c>
      <c r="H30">
        <v>2000</v>
      </c>
      <c r="I30">
        <v>0.5</v>
      </c>
      <c r="J30">
        <v>0.33333333333333331</v>
      </c>
      <c r="K30">
        <v>0.5</v>
      </c>
      <c r="L30">
        <f t="shared" si="1"/>
        <v>0.83333333333333337</v>
      </c>
      <c r="M30">
        <f t="shared" si="1"/>
        <v>0.83333333333333337</v>
      </c>
      <c r="N30">
        <v>1.333333333333333</v>
      </c>
      <c r="O30">
        <v>0</v>
      </c>
      <c r="P30">
        <v>60</v>
      </c>
      <c r="Q30">
        <v>19.2</v>
      </c>
      <c r="R30">
        <v>76.8</v>
      </c>
      <c r="S30">
        <v>0</v>
      </c>
      <c r="T30">
        <v>0.4</v>
      </c>
      <c r="U30">
        <v>18.239999999999981</v>
      </c>
      <c r="V30">
        <v>1.3600000000000161</v>
      </c>
      <c r="W30">
        <v>19.999999999999801</v>
      </c>
      <c r="X30">
        <v>160</v>
      </c>
      <c r="Y30">
        <v>179.9999999999998</v>
      </c>
      <c r="Z30">
        <v>180</v>
      </c>
      <c r="AA30">
        <v>0</v>
      </c>
      <c r="AB30">
        <v>0</v>
      </c>
      <c r="AC30">
        <v>34.07999999999997</v>
      </c>
      <c r="AD30">
        <v>2.7200000000000322</v>
      </c>
      <c r="AE30">
        <v>0</v>
      </c>
      <c r="AF30">
        <v>0.8</v>
      </c>
      <c r="AG30">
        <v>2.4</v>
      </c>
      <c r="AH30">
        <v>0</v>
      </c>
    </row>
    <row r="31" spans="1:34" x14ac:dyDescent="0.2">
      <c r="A31">
        <v>313</v>
      </c>
      <c r="B31">
        <v>42.5</v>
      </c>
      <c r="C31">
        <v>750</v>
      </c>
      <c r="D31">
        <v>500</v>
      </c>
      <c r="E31">
        <v>750</v>
      </c>
      <c r="F31">
        <f t="shared" si="0"/>
        <v>1250</v>
      </c>
      <c r="G31">
        <f t="shared" si="0"/>
        <v>1250</v>
      </c>
      <c r="H31">
        <v>2000</v>
      </c>
      <c r="I31">
        <v>0.52941176470588236</v>
      </c>
      <c r="J31">
        <v>0.3529411764705882</v>
      </c>
      <c r="K31">
        <v>0.52941176470588236</v>
      </c>
      <c r="L31">
        <f t="shared" si="1"/>
        <v>0.88235294117647056</v>
      </c>
      <c r="M31">
        <f t="shared" si="1"/>
        <v>0.88235294117647056</v>
      </c>
      <c r="N31">
        <v>1.411764705882353</v>
      </c>
      <c r="O31">
        <v>0</v>
      </c>
      <c r="P31">
        <v>51.6</v>
      </c>
      <c r="Q31">
        <v>0</v>
      </c>
      <c r="R31">
        <v>63.599999999999987</v>
      </c>
      <c r="S31">
        <v>2.435294117647087</v>
      </c>
      <c r="T31">
        <v>1.058823529411772</v>
      </c>
      <c r="U31">
        <v>7.0588235294117716</v>
      </c>
      <c r="V31">
        <v>3.5294117647087363E-2</v>
      </c>
      <c r="W31">
        <v>10.58823529411765</v>
      </c>
      <c r="X31">
        <v>169.41176470588229</v>
      </c>
      <c r="Y31">
        <v>180</v>
      </c>
      <c r="Z31">
        <v>180</v>
      </c>
      <c r="AA31">
        <v>0</v>
      </c>
      <c r="AB31">
        <v>0</v>
      </c>
      <c r="AC31">
        <v>14.11764705882354</v>
      </c>
      <c r="AD31">
        <v>7.0588235294174712E-2</v>
      </c>
      <c r="AE31">
        <v>4.870588235294175</v>
      </c>
      <c r="AF31">
        <v>2.1176470588235441</v>
      </c>
      <c r="AG31">
        <v>0</v>
      </c>
      <c r="AH31">
        <v>0</v>
      </c>
    </row>
    <row r="32" spans="1:34" x14ac:dyDescent="0.2">
      <c r="A32">
        <v>313</v>
      </c>
      <c r="B32">
        <v>40</v>
      </c>
      <c r="C32">
        <v>750</v>
      </c>
      <c r="D32">
        <v>500</v>
      </c>
      <c r="E32">
        <v>750</v>
      </c>
      <c r="F32">
        <f t="shared" si="0"/>
        <v>1250</v>
      </c>
      <c r="G32">
        <f t="shared" si="0"/>
        <v>1250</v>
      </c>
      <c r="H32">
        <v>2000</v>
      </c>
      <c r="I32">
        <v>0.5625</v>
      </c>
      <c r="J32">
        <v>0.375</v>
      </c>
      <c r="K32">
        <v>0.5625</v>
      </c>
      <c r="L32">
        <f t="shared" si="1"/>
        <v>0.9375</v>
      </c>
      <c r="M32">
        <f t="shared" si="1"/>
        <v>0.9375</v>
      </c>
      <c r="N32">
        <v>1.5</v>
      </c>
      <c r="O32">
        <v>0</v>
      </c>
      <c r="P32">
        <v>52.8</v>
      </c>
      <c r="Q32">
        <v>103.2</v>
      </c>
      <c r="R32">
        <v>58.8</v>
      </c>
      <c r="S32">
        <v>0.14999999999991909</v>
      </c>
      <c r="T32">
        <v>1.8299999999999681</v>
      </c>
      <c r="U32">
        <v>0.1215000000000146</v>
      </c>
      <c r="V32">
        <v>0.89850000000001784</v>
      </c>
      <c r="W32">
        <v>2.999999999999801</v>
      </c>
      <c r="X32">
        <v>180</v>
      </c>
      <c r="Y32">
        <v>182.9999999999998</v>
      </c>
      <c r="Z32">
        <v>180</v>
      </c>
      <c r="AA32">
        <v>0</v>
      </c>
      <c r="AB32">
        <v>2.1599999999999349</v>
      </c>
      <c r="AC32">
        <v>0.24300000000002911</v>
      </c>
      <c r="AD32">
        <v>1.7970000000000359</v>
      </c>
      <c r="AE32">
        <v>0.29999999999983828</v>
      </c>
      <c r="AF32">
        <v>1.5</v>
      </c>
      <c r="AG32">
        <v>0</v>
      </c>
      <c r="AH32">
        <v>0</v>
      </c>
    </row>
    <row r="33" spans="1:34" x14ac:dyDescent="0.2">
      <c r="A33">
        <v>313</v>
      </c>
      <c r="B33">
        <v>37.5</v>
      </c>
      <c r="C33">
        <v>750</v>
      </c>
      <c r="D33">
        <v>500</v>
      </c>
      <c r="E33">
        <v>750</v>
      </c>
      <c r="F33">
        <f t="shared" si="0"/>
        <v>1250</v>
      </c>
      <c r="G33">
        <f t="shared" si="0"/>
        <v>1250</v>
      </c>
      <c r="H33">
        <v>2000</v>
      </c>
      <c r="I33">
        <v>0.6</v>
      </c>
      <c r="J33">
        <v>0.4</v>
      </c>
      <c r="K33">
        <v>0.6</v>
      </c>
      <c r="L33">
        <f t="shared" si="1"/>
        <v>1</v>
      </c>
      <c r="M33">
        <f t="shared" si="1"/>
        <v>1</v>
      </c>
      <c r="N33">
        <v>1.6</v>
      </c>
      <c r="O33">
        <v>0</v>
      </c>
      <c r="P33">
        <v>58.8</v>
      </c>
      <c r="Q33">
        <v>117.6</v>
      </c>
      <c r="R33">
        <v>70.8</v>
      </c>
      <c r="S33">
        <v>10.90800000000001</v>
      </c>
      <c r="T33">
        <v>0.61199999999997901</v>
      </c>
      <c r="U33">
        <v>0.46799999999994818</v>
      </c>
      <c r="V33">
        <v>1.199999999977687E-2</v>
      </c>
      <c r="W33">
        <v>11.999999999999471</v>
      </c>
      <c r="X33">
        <v>192</v>
      </c>
      <c r="Y33">
        <v>203.99999999999949</v>
      </c>
      <c r="Z33">
        <v>180</v>
      </c>
      <c r="AA33">
        <v>0</v>
      </c>
      <c r="AB33">
        <v>0.96000000000001617</v>
      </c>
      <c r="AC33">
        <v>0.21599999999994501</v>
      </c>
      <c r="AD33">
        <v>2.3999999999553739E-2</v>
      </c>
      <c r="AE33">
        <v>21.816000000000031</v>
      </c>
      <c r="AF33">
        <v>0.26399999999994178</v>
      </c>
      <c r="AG33">
        <v>0.71999999999995146</v>
      </c>
      <c r="AH33">
        <v>0</v>
      </c>
    </row>
    <row r="34" spans="1:34" x14ac:dyDescent="0.2">
      <c r="A34">
        <v>313</v>
      </c>
      <c r="B34">
        <v>35</v>
      </c>
      <c r="C34">
        <v>750</v>
      </c>
      <c r="D34">
        <v>500</v>
      </c>
      <c r="E34">
        <v>750</v>
      </c>
      <c r="F34">
        <f t="shared" ref="F34:G65" si="2">C34+D34</f>
        <v>1250</v>
      </c>
      <c r="G34">
        <f t="shared" si="2"/>
        <v>1250</v>
      </c>
      <c r="H34">
        <v>2000</v>
      </c>
      <c r="I34">
        <v>0.64285714285714279</v>
      </c>
      <c r="J34">
        <v>0.42857142857142849</v>
      </c>
      <c r="K34">
        <v>0.64285714285714279</v>
      </c>
      <c r="L34">
        <f t="shared" ref="L34:M65" si="3">F34/(120*$B34*1000/3600)</f>
        <v>1.0714285714285714</v>
      </c>
      <c r="M34">
        <f t="shared" si="3"/>
        <v>1.0714285714285714</v>
      </c>
      <c r="N34">
        <v>1.714285714285714</v>
      </c>
      <c r="O34">
        <v>0</v>
      </c>
      <c r="P34">
        <v>31.2</v>
      </c>
      <c r="Q34">
        <v>87.6</v>
      </c>
      <c r="R34">
        <v>39.6</v>
      </c>
      <c r="S34">
        <v>0.59265306122457939</v>
      </c>
      <c r="T34">
        <v>14.09877551020408</v>
      </c>
      <c r="U34">
        <v>2.9490612244897618</v>
      </c>
      <c r="V34">
        <v>8.0737959183672494</v>
      </c>
      <c r="W34">
        <v>25.714285714285339</v>
      </c>
      <c r="X34">
        <v>205.71428571428569</v>
      </c>
      <c r="Y34">
        <v>231.42857142857099</v>
      </c>
      <c r="Z34">
        <v>180</v>
      </c>
      <c r="AA34">
        <v>0</v>
      </c>
      <c r="AB34">
        <v>27.154285714285649</v>
      </c>
      <c r="AC34">
        <v>2.8124081632652729</v>
      </c>
      <c r="AD34">
        <v>16.147591836734499</v>
      </c>
      <c r="AE34">
        <v>1.185306122449159</v>
      </c>
      <c r="AF34">
        <v>1.043265306122501</v>
      </c>
      <c r="AG34">
        <v>3.0857142857142512</v>
      </c>
      <c r="AH34">
        <v>0</v>
      </c>
    </row>
    <row r="35" spans="1:34" x14ac:dyDescent="0.2">
      <c r="A35">
        <v>313</v>
      </c>
      <c r="B35">
        <v>32.5</v>
      </c>
      <c r="C35">
        <v>750</v>
      </c>
      <c r="D35">
        <v>500</v>
      </c>
      <c r="E35">
        <v>750</v>
      </c>
      <c r="F35">
        <f t="shared" si="2"/>
        <v>1250</v>
      </c>
      <c r="G35">
        <f t="shared" si="2"/>
        <v>1250</v>
      </c>
      <c r="H35">
        <v>2000</v>
      </c>
      <c r="I35">
        <v>0.6923076923076924</v>
      </c>
      <c r="J35">
        <v>0.46153846153846162</v>
      </c>
      <c r="K35">
        <v>0.6923076923076924</v>
      </c>
      <c r="L35">
        <f t="shared" si="3"/>
        <v>1.153846153846154</v>
      </c>
      <c r="M35">
        <f t="shared" si="3"/>
        <v>1.153846153846154</v>
      </c>
      <c r="N35">
        <v>1.846153846153846</v>
      </c>
      <c r="O35">
        <v>0</v>
      </c>
      <c r="P35">
        <v>61.2</v>
      </c>
      <c r="Q35">
        <v>0</v>
      </c>
      <c r="R35">
        <v>91.2</v>
      </c>
      <c r="S35">
        <v>9.7846153846154476</v>
      </c>
      <c r="T35">
        <v>9.4523076923075777</v>
      </c>
      <c r="U35">
        <v>9.3641893491124293</v>
      </c>
      <c r="V35">
        <v>0.93734911242601004</v>
      </c>
      <c r="W35">
        <v>29.538461538461419</v>
      </c>
      <c r="X35">
        <v>221.53846153846149</v>
      </c>
      <c r="Y35">
        <v>251.07692307692301</v>
      </c>
      <c r="Z35">
        <v>180</v>
      </c>
      <c r="AA35">
        <v>0</v>
      </c>
      <c r="AB35">
        <v>7.9015384615382773</v>
      </c>
      <c r="AC35">
        <v>0.56222485207100459</v>
      </c>
      <c r="AD35">
        <v>1.8746982248520201</v>
      </c>
      <c r="AE35">
        <v>19.569230769230899</v>
      </c>
      <c r="AF35">
        <v>11.003076923076881</v>
      </c>
      <c r="AG35">
        <v>18.166153846153851</v>
      </c>
      <c r="AH35">
        <v>0</v>
      </c>
    </row>
    <row r="36" spans="1:34" x14ac:dyDescent="0.2">
      <c r="A36">
        <v>313</v>
      </c>
      <c r="B36">
        <v>30</v>
      </c>
      <c r="C36">
        <v>750</v>
      </c>
      <c r="D36">
        <v>500</v>
      </c>
      <c r="E36">
        <v>750</v>
      </c>
      <c r="F36">
        <f t="shared" si="2"/>
        <v>1250</v>
      </c>
      <c r="G36">
        <f t="shared" si="2"/>
        <v>1250</v>
      </c>
      <c r="H36">
        <v>2000</v>
      </c>
      <c r="I36">
        <v>0.75</v>
      </c>
      <c r="J36">
        <v>0.5</v>
      </c>
      <c r="K36">
        <v>0.75</v>
      </c>
      <c r="L36">
        <f t="shared" si="3"/>
        <v>1.25</v>
      </c>
      <c r="M36">
        <f t="shared" si="3"/>
        <v>1.25</v>
      </c>
      <c r="N36">
        <v>2</v>
      </c>
      <c r="O36">
        <v>0</v>
      </c>
      <c r="P36">
        <v>64.8</v>
      </c>
      <c r="Q36">
        <v>15.6</v>
      </c>
      <c r="R36">
        <v>118.8</v>
      </c>
      <c r="S36">
        <v>17.399999999999839</v>
      </c>
      <c r="T36">
        <v>8.5200000000001541</v>
      </c>
      <c r="U36">
        <v>15.94799999999996</v>
      </c>
      <c r="V36">
        <v>6.1319999999997288</v>
      </c>
      <c r="W36">
        <v>47.999999999999432</v>
      </c>
      <c r="X36">
        <v>240</v>
      </c>
      <c r="Y36">
        <v>287.99999999999937</v>
      </c>
      <c r="Z36">
        <v>180</v>
      </c>
      <c r="AA36">
        <v>0</v>
      </c>
      <c r="AB36">
        <v>10.56000000000002</v>
      </c>
      <c r="AC36">
        <v>2.3760000000001229</v>
      </c>
      <c r="AD36">
        <v>12.263999999999459</v>
      </c>
      <c r="AE36">
        <v>34.799999999999677</v>
      </c>
      <c r="AF36">
        <v>6.4800000000002909</v>
      </c>
      <c r="AG36">
        <v>29.51999999999979</v>
      </c>
      <c r="AH36">
        <v>0</v>
      </c>
    </row>
    <row r="37" spans="1:34" x14ac:dyDescent="0.2">
      <c r="A37">
        <v>313</v>
      </c>
      <c r="B37">
        <v>27.5</v>
      </c>
      <c r="C37">
        <v>750</v>
      </c>
      <c r="D37">
        <v>500</v>
      </c>
      <c r="E37">
        <v>750</v>
      </c>
      <c r="F37">
        <f t="shared" si="2"/>
        <v>1250</v>
      </c>
      <c r="G37">
        <f t="shared" si="2"/>
        <v>1250</v>
      </c>
      <c r="H37">
        <v>2000</v>
      </c>
      <c r="I37">
        <v>0.81818181818181823</v>
      </c>
      <c r="J37">
        <v>0.54545454545454553</v>
      </c>
      <c r="K37">
        <v>0.81818181818181823</v>
      </c>
      <c r="L37">
        <f t="shared" si="3"/>
        <v>1.3636363636363638</v>
      </c>
      <c r="M37">
        <f t="shared" si="3"/>
        <v>1.3636363636363638</v>
      </c>
      <c r="N37">
        <v>2.1818181818181821</v>
      </c>
      <c r="O37">
        <v>0</v>
      </c>
      <c r="P37">
        <v>15.6</v>
      </c>
      <c r="Q37">
        <v>81.599999999999994</v>
      </c>
      <c r="R37">
        <v>61.2</v>
      </c>
      <c r="S37">
        <v>0.76224793388424184</v>
      </c>
      <c r="T37">
        <v>20.303206611570161</v>
      </c>
      <c r="U37">
        <v>16.40727272727268</v>
      </c>
      <c r="V37">
        <v>0.70909090909109285</v>
      </c>
      <c r="W37">
        <v>38.181818181818016</v>
      </c>
      <c r="X37">
        <v>261.81818181818181</v>
      </c>
      <c r="Y37">
        <v>299.99999999999977</v>
      </c>
      <c r="Z37">
        <v>180</v>
      </c>
      <c r="AA37">
        <v>0</v>
      </c>
      <c r="AB37">
        <v>37.418181818181701</v>
      </c>
      <c r="AC37">
        <v>0.54545454545441319</v>
      </c>
      <c r="AD37">
        <v>1.4181818181821859</v>
      </c>
      <c r="AE37">
        <v>1.5244958677684839</v>
      </c>
      <c r="AF37">
        <v>3.1882314049586258</v>
      </c>
      <c r="AG37">
        <v>32.269090909090949</v>
      </c>
      <c r="AH37">
        <v>0</v>
      </c>
    </row>
    <row r="38" spans="1:34" x14ac:dyDescent="0.2">
      <c r="A38">
        <v>313</v>
      </c>
      <c r="B38">
        <v>25</v>
      </c>
      <c r="C38">
        <v>750</v>
      </c>
      <c r="D38">
        <v>500</v>
      </c>
      <c r="E38">
        <v>750</v>
      </c>
      <c r="F38">
        <f t="shared" si="2"/>
        <v>1250</v>
      </c>
      <c r="G38">
        <f t="shared" si="2"/>
        <v>1250</v>
      </c>
      <c r="H38">
        <v>2000</v>
      </c>
      <c r="I38">
        <v>0.89999999999999991</v>
      </c>
      <c r="J38">
        <v>0.6</v>
      </c>
      <c r="K38">
        <v>0.89999999999999991</v>
      </c>
      <c r="L38">
        <f t="shared" si="3"/>
        <v>1.5</v>
      </c>
      <c r="M38">
        <f t="shared" si="3"/>
        <v>1.5</v>
      </c>
      <c r="N38">
        <v>2.4</v>
      </c>
      <c r="O38">
        <v>0</v>
      </c>
      <c r="P38">
        <v>0</v>
      </c>
      <c r="Q38">
        <v>48</v>
      </c>
      <c r="R38">
        <v>60</v>
      </c>
      <c r="S38">
        <v>6</v>
      </c>
      <c r="T38">
        <v>6</v>
      </c>
      <c r="U38">
        <v>0</v>
      </c>
      <c r="V38">
        <v>0</v>
      </c>
      <c r="W38">
        <v>12</v>
      </c>
      <c r="X38">
        <v>288</v>
      </c>
      <c r="Y38">
        <v>300</v>
      </c>
      <c r="Z38">
        <v>180</v>
      </c>
      <c r="AA38">
        <v>0</v>
      </c>
      <c r="AB38">
        <v>12</v>
      </c>
      <c r="AC38">
        <v>0</v>
      </c>
      <c r="AD38">
        <v>0</v>
      </c>
      <c r="AE38">
        <v>12</v>
      </c>
      <c r="AF38">
        <v>0</v>
      </c>
      <c r="AG38">
        <v>0</v>
      </c>
      <c r="AH38">
        <v>0</v>
      </c>
    </row>
    <row r="39" spans="1:34" x14ac:dyDescent="0.2">
      <c r="A39">
        <v>313</v>
      </c>
      <c r="B39">
        <v>22.5</v>
      </c>
      <c r="C39">
        <v>750</v>
      </c>
      <c r="D39">
        <v>500</v>
      </c>
      <c r="E39">
        <v>750</v>
      </c>
      <c r="F39">
        <f t="shared" si="2"/>
        <v>1250</v>
      </c>
      <c r="G39">
        <f t="shared" si="2"/>
        <v>1250</v>
      </c>
      <c r="H39">
        <v>2000</v>
      </c>
      <c r="I39">
        <v>1</v>
      </c>
      <c r="J39">
        <v>0.66666666666666663</v>
      </c>
      <c r="K39">
        <v>1</v>
      </c>
      <c r="L39">
        <f t="shared" si="3"/>
        <v>1.6666666666666667</v>
      </c>
      <c r="M39">
        <f t="shared" si="3"/>
        <v>1.6666666666666667</v>
      </c>
      <c r="N39">
        <v>2.666666666666667</v>
      </c>
      <c r="O39">
        <v>0</v>
      </c>
      <c r="P39">
        <v>0</v>
      </c>
      <c r="Q39">
        <v>52.8</v>
      </c>
      <c r="R39">
        <v>76.8</v>
      </c>
      <c r="S39">
        <v>8.4799999999998867</v>
      </c>
      <c r="T39">
        <v>9.919999999999952</v>
      </c>
      <c r="U39">
        <v>0.95999999999993535</v>
      </c>
      <c r="V39">
        <v>0.64000000000010515</v>
      </c>
      <c r="W39">
        <v>19.999999999999801</v>
      </c>
      <c r="X39">
        <v>320</v>
      </c>
      <c r="Y39">
        <v>339.99999999999977</v>
      </c>
      <c r="Z39">
        <v>180</v>
      </c>
      <c r="AA39">
        <v>0</v>
      </c>
      <c r="AB39">
        <v>0</v>
      </c>
      <c r="AC39">
        <v>1.9199999999998709</v>
      </c>
      <c r="AD39">
        <v>1.2800000000002101</v>
      </c>
      <c r="AE39">
        <v>16.95999999999977</v>
      </c>
      <c r="AF39">
        <v>19.8399999999999</v>
      </c>
      <c r="AG39">
        <v>0</v>
      </c>
      <c r="AH39">
        <v>0</v>
      </c>
    </row>
    <row r="40" spans="1:34" x14ac:dyDescent="0.2">
      <c r="A40">
        <v>313</v>
      </c>
      <c r="B40">
        <v>20</v>
      </c>
      <c r="C40">
        <v>750</v>
      </c>
      <c r="D40">
        <v>500</v>
      </c>
      <c r="E40">
        <v>750</v>
      </c>
      <c r="F40">
        <f t="shared" si="2"/>
        <v>1250</v>
      </c>
      <c r="G40">
        <f t="shared" si="2"/>
        <v>1250</v>
      </c>
      <c r="H40">
        <v>2000</v>
      </c>
      <c r="I40">
        <v>1.125</v>
      </c>
      <c r="J40">
        <v>0.75</v>
      </c>
      <c r="K40">
        <v>1.125</v>
      </c>
      <c r="L40">
        <f t="shared" si="3"/>
        <v>1.875</v>
      </c>
      <c r="M40">
        <f t="shared" si="3"/>
        <v>1.875</v>
      </c>
      <c r="N40">
        <v>3</v>
      </c>
      <c r="O40">
        <v>0</v>
      </c>
      <c r="P40">
        <v>116.4</v>
      </c>
      <c r="Q40">
        <v>91.2</v>
      </c>
      <c r="R40">
        <v>112.8</v>
      </c>
      <c r="S40">
        <v>4.9799999999999676</v>
      </c>
      <c r="T40">
        <v>14.280000000000131</v>
      </c>
      <c r="U40">
        <v>4.0439999999999907</v>
      </c>
      <c r="V40">
        <v>0.69599999999942763</v>
      </c>
      <c r="W40">
        <v>23.999999999998948</v>
      </c>
      <c r="X40">
        <v>360</v>
      </c>
      <c r="Y40">
        <v>383.99999999999898</v>
      </c>
      <c r="Z40">
        <v>180</v>
      </c>
      <c r="AA40">
        <v>0</v>
      </c>
      <c r="AB40">
        <v>5.2799999999999674</v>
      </c>
      <c r="AC40">
        <v>0.52799999999996439</v>
      </c>
      <c r="AD40">
        <v>1.391999999998855</v>
      </c>
      <c r="AE40">
        <v>9.9599999999999351</v>
      </c>
      <c r="AF40">
        <v>23.280000000000289</v>
      </c>
      <c r="AG40">
        <v>7.5600000000000156</v>
      </c>
      <c r="AH40">
        <v>0</v>
      </c>
    </row>
    <row r="41" spans="1:34" x14ac:dyDescent="0.2">
      <c r="A41">
        <v>314</v>
      </c>
      <c r="B41">
        <v>50</v>
      </c>
      <c r="C41">
        <v>416.66666666666669</v>
      </c>
      <c r="D41">
        <v>500</v>
      </c>
      <c r="E41">
        <v>416.66666666666669</v>
      </c>
      <c r="F41">
        <f t="shared" si="2"/>
        <v>916.66666666666674</v>
      </c>
      <c r="G41">
        <f t="shared" si="2"/>
        <v>916.66666666666674</v>
      </c>
      <c r="H41">
        <v>1333.333333333333</v>
      </c>
      <c r="I41">
        <v>0.25</v>
      </c>
      <c r="J41">
        <v>0.3</v>
      </c>
      <c r="K41">
        <v>0.25</v>
      </c>
      <c r="L41">
        <f t="shared" si="3"/>
        <v>0.55000000000000004</v>
      </c>
      <c r="M41">
        <f t="shared" si="3"/>
        <v>0.55000000000000004</v>
      </c>
      <c r="N41">
        <v>0.8</v>
      </c>
      <c r="O41">
        <v>0</v>
      </c>
      <c r="P41">
        <v>2.4</v>
      </c>
      <c r="Q41">
        <v>67.2</v>
      </c>
      <c r="R41">
        <v>88.8</v>
      </c>
      <c r="S41">
        <v>14.903999999999559</v>
      </c>
      <c r="T41">
        <v>10.656000000000009</v>
      </c>
      <c r="U41">
        <v>18.239999999999899</v>
      </c>
      <c r="V41">
        <v>4.1999999999999593</v>
      </c>
      <c r="W41">
        <v>47.999999999999467</v>
      </c>
      <c r="X41">
        <v>96</v>
      </c>
      <c r="Y41">
        <v>143.99999999999949</v>
      </c>
      <c r="Z41">
        <v>180</v>
      </c>
      <c r="AA41">
        <v>0</v>
      </c>
      <c r="AB41">
        <v>12.48000000000005</v>
      </c>
      <c r="AC41">
        <v>19.92000000000003</v>
      </c>
      <c r="AD41">
        <v>8.3999999999999186</v>
      </c>
      <c r="AE41">
        <v>29.807999999999119</v>
      </c>
      <c r="AF41">
        <v>8.8319999999999705</v>
      </c>
      <c r="AG41">
        <v>16.559999999999771</v>
      </c>
      <c r="AH41">
        <v>0</v>
      </c>
    </row>
    <row r="42" spans="1:34" x14ac:dyDescent="0.2">
      <c r="A42">
        <v>314</v>
      </c>
      <c r="B42">
        <v>47.5</v>
      </c>
      <c r="C42">
        <v>416.66666666666669</v>
      </c>
      <c r="D42">
        <v>500</v>
      </c>
      <c r="E42">
        <v>416.66666666666669</v>
      </c>
      <c r="F42">
        <f t="shared" si="2"/>
        <v>916.66666666666674</v>
      </c>
      <c r="G42">
        <f t="shared" si="2"/>
        <v>916.66666666666674</v>
      </c>
      <c r="H42">
        <v>1333.333333333333</v>
      </c>
      <c r="I42">
        <v>0.26315789473684209</v>
      </c>
      <c r="J42">
        <v>0.31578947368421062</v>
      </c>
      <c r="K42">
        <v>0.26315789473684209</v>
      </c>
      <c r="L42">
        <f t="shared" si="3"/>
        <v>0.57894736842105265</v>
      </c>
      <c r="M42">
        <f t="shared" si="3"/>
        <v>0.57894736842105265</v>
      </c>
      <c r="N42">
        <v>0.8421052631578948</v>
      </c>
      <c r="O42">
        <v>0</v>
      </c>
      <c r="P42">
        <v>2.4</v>
      </c>
      <c r="Q42">
        <v>56.4</v>
      </c>
      <c r="R42">
        <v>82.8</v>
      </c>
      <c r="S42">
        <v>16.989473684210189</v>
      </c>
      <c r="T42">
        <v>15.71999999999999</v>
      </c>
      <c r="U42">
        <v>13.96421052631575</v>
      </c>
      <c r="V42">
        <v>2.589473684210478</v>
      </c>
      <c r="W42">
        <v>49.263157894736118</v>
      </c>
      <c r="X42">
        <v>101.0526315789474</v>
      </c>
      <c r="Y42">
        <v>150.31578947368351</v>
      </c>
      <c r="Z42">
        <v>180</v>
      </c>
      <c r="AA42">
        <v>0</v>
      </c>
      <c r="AB42">
        <v>13.743157894736861</v>
      </c>
      <c r="AC42">
        <v>7.5410526315789159</v>
      </c>
      <c r="AD42">
        <v>5.178947368420955</v>
      </c>
      <c r="AE42">
        <v>33.978947368420393</v>
      </c>
      <c r="AF42">
        <v>17.696842105263119</v>
      </c>
      <c r="AG42">
        <v>20.387368421052571</v>
      </c>
      <c r="AH42">
        <v>0</v>
      </c>
    </row>
    <row r="43" spans="1:34" x14ac:dyDescent="0.2">
      <c r="A43">
        <v>314</v>
      </c>
      <c r="B43">
        <v>45</v>
      </c>
      <c r="C43">
        <v>416.66666666666669</v>
      </c>
      <c r="D43">
        <v>500</v>
      </c>
      <c r="E43">
        <v>416.66666666666669</v>
      </c>
      <c r="F43">
        <f t="shared" si="2"/>
        <v>916.66666666666674</v>
      </c>
      <c r="G43">
        <f t="shared" si="2"/>
        <v>916.66666666666674</v>
      </c>
      <c r="H43">
        <v>1333.333333333333</v>
      </c>
      <c r="I43">
        <v>0.27777777777777779</v>
      </c>
      <c r="J43">
        <v>0.33333333333333331</v>
      </c>
      <c r="K43">
        <v>0.27777777777777779</v>
      </c>
      <c r="L43">
        <f t="shared" si="3"/>
        <v>0.61111111111111116</v>
      </c>
      <c r="M43">
        <f t="shared" si="3"/>
        <v>0.61111111111111116</v>
      </c>
      <c r="N43">
        <v>0.88888888888888895</v>
      </c>
      <c r="O43">
        <v>0</v>
      </c>
      <c r="P43">
        <v>1.2</v>
      </c>
      <c r="Q43">
        <v>44.4</v>
      </c>
      <c r="R43">
        <v>37.200000000000003</v>
      </c>
      <c r="S43">
        <v>17.26666666666663</v>
      </c>
      <c r="T43">
        <v>14.879999999999891</v>
      </c>
      <c r="U43">
        <v>1.17688888888887</v>
      </c>
      <c r="V43">
        <v>17.343111111111039</v>
      </c>
      <c r="W43">
        <v>50.666666666666401</v>
      </c>
      <c r="X43">
        <v>106.6666666666667</v>
      </c>
      <c r="Y43">
        <v>157.33333333333309</v>
      </c>
      <c r="Z43">
        <v>180</v>
      </c>
      <c r="AA43">
        <v>0</v>
      </c>
      <c r="AB43">
        <v>16.106666666666491</v>
      </c>
      <c r="AC43">
        <v>1.0737777777777711</v>
      </c>
      <c r="AD43">
        <v>34.686222222222092</v>
      </c>
      <c r="AE43">
        <v>34.533333333333253</v>
      </c>
      <c r="AF43">
        <v>13.653333333333279</v>
      </c>
      <c r="AG43">
        <v>1.2799999999999681</v>
      </c>
      <c r="AH43">
        <v>0</v>
      </c>
    </row>
    <row r="44" spans="1:34" x14ac:dyDescent="0.2">
      <c r="A44">
        <v>314</v>
      </c>
      <c r="B44">
        <v>42.5</v>
      </c>
      <c r="C44">
        <v>416.66666666666669</v>
      </c>
      <c r="D44">
        <v>500</v>
      </c>
      <c r="E44">
        <v>416.66666666666669</v>
      </c>
      <c r="F44">
        <f t="shared" si="2"/>
        <v>916.66666666666674</v>
      </c>
      <c r="G44">
        <f t="shared" si="2"/>
        <v>916.66666666666674</v>
      </c>
      <c r="H44">
        <v>1333.333333333333</v>
      </c>
      <c r="I44">
        <v>0.29411764705882348</v>
      </c>
      <c r="J44">
        <v>0.3529411764705882</v>
      </c>
      <c r="K44">
        <v>0.29411764705882348</v>
      </c>
      <c r="L44">
        <f t="shared" si="3"/>
        <v>0.6470588235294118</v>
      </c>
      <c r="M44">
        <f t="shared" si="3"/>
        <v>0.6470588235294118</v>
      </c>
      <c r="N44">
        <v>0.94117647058823528</v>
      </c>
      <c r="O44">
        <v>0</v>
      </c>
      <c r="P44">
        <v>4.8</v>
      </c>
      <c r="Q44">
        <v>61.2</v>
      </c>
      <c r="R44">
        <v>70.8</v>
      </c>
      <c r="S44">
        <v>19.149923875431991</v>
      </c>
      <c r="T44">
        <v>11.097134948096899</v>
      </c>
      <c r="U44">
        <v>9.1411764705882277</v>
      </c>
      <c r="V44">
        <v>12.84705882352937</v>
      </c>
      <c r="W44">
        <v>52.235294117646418</v>
      </c>
      <c r="X44">
        <v>112.9411764705882</v>
      </c>
      <c r="Y44">
        <v>165.17647058823471</v>
      </c>
      <c r="Z44">
        <v>180</v>
      </c>
      <c r="AA44">
        <v>0</v>
      </c>
      <c r="AB44">
        <v>14.795294117647099</v>
      </c>
      <c r="AC44">
        <v>5.7458823529412459</v>
      </c>
      <c r="AD44">
        <v>25.694117647058739</v>
      </c>
      <c r="AE44">
        <v>38.299847750863982</v>
      </c>
      <c r="AF44">
        <v>7.3989757785466894</v>
      </c>
      <c r="AG44">
        <v>12.536470588235209</v>
      </c>
      <c r="AH44">
        <v>0</v>
      </c>
    </row>
    <row r="45" spans="1:34" x14ac:dyDescent="0.2">
      <c r="A45">
        <v>314</v>
      </c>
      <c r="B45">
        <v>40</v>
      </c>
      <c r="C45">
        <v>416.66666666666669</v>
      </c>
      <c r="D45">
        <v>500</v>
      </c>
      <c r="E45">
        <v>416.66666666666669</v>
      </c>
      <c r="F45">
        <f t="shared" si="2"/>
        <v>916.66666666666674</v>
      </c>
      <c r="G45">
        <f t="shared" si="2"/>
        <v>916.66666666666674</v>
      </c>
      <c r="H45">
        <v>1333.333333333333</v>
      </c>
      <c r="I45">
        <v>0.31250000000000011</v>
      </c>
      <c r="J45">
        <v>0.375</v>
      </c>
      <c r="K45">
        <v>0.31250000000000011</v>
      </c>
      <c r="L45">
        <f t="shared" si="3"/>
        <v>0.68750000000000011</v>
      </c>
      <c r="M45">
        <f t="shared" si="3"/>
        <v>0.68750000000000011</v>
      </c>
      <c r="N45">
        <v>1</v>
      </c>
      <c r="O45">
        <v>0</v>
      </c>
      <c r="P45">
        <v>61.2</v>
      </c>
      <c r="Q45">
        <v>3.6</v>
      </c>
      <c r="R45">
        <v>34.799999999999997</v>
      </c>
      <c r="S45">
        <v>9.1964999999997712</v>
      </c>
      <c r="T45">
        <v>16.543500000000009</v>
      </c>
      <c r="U45">
        <v>22.109999999999861</v>
      </c>
      <c r="V45">
        <v>3.1499999999999191</v>
      </c>
      <c r="W45">
        <v>50.999999999999673</v>
      </c>
      <c r="X45">
        <v>120</v>
      </c>
      <c r="Y45">
        <v>170.99999999999969</v>
      </c>
      <c r="Z45">
        <v>180</v>
      </c>
      <c r="AA45">
        <v>0</v>
      </c>
      <c r="AB45">
        <v>23.7</v>
      </c>
      <c r="AC45">
        <v>17.39999999999992</v>
      </c>
      <c r="AD45">
        <v>6.2999999999998382</v>
      </c>
      <c r="AE45">
        <v>18.392999999999539</v>
      </c>
      <c r="AF45">
        <v>9.38700000000002</v>
      </c>
      <c r="AG45">
        <v>26.819999999999791</v>
      </c>
      <c r="AH45">
        <v>0</v>
      </c>
    </row>
    <row r="46" spans="1:34" x14ac:dyDescent="0.2">
      <c r="A46">
        <v>314</v>
      </c>
      <c r="B46">
        <v>37.5</v>
      </c>
      <c r="C46">
        <v>416.66666666666669</v>
      </c>
      <c r="D46">
        <v>500</v>
      </c>
      <c r="E46">
        <v>416.66666666666669</v>
      </c>
      <c r="F46">
        <f t="shared" si="2"/>
        <v>916.66666666666674</v>
      </c>
      <c r="G46">
        <f t="shared" si="2"/>
        <v>916.66666666666674</v>
      </c>
      <c r="H46">
        <v>1333.333333333333</v>
      </c>
      <c r="I46">
        <v>0.33333333333333343</v>
      </c>
      <c r="J46">
        <v>0.4</v>
      </c>
      <c r="K46">
        <v>0.33333333333333343</v>
      </c>
      <c r="L46">
        <f t="shared" si="3"/>
        <v>0.73333333333333339</v>
      </c>
      <c r="M46">
        <f t="shared" si="3"/>
        <v>0.73333333333333339</v>
      </c>
      <c r="N46">
        <v>1.0666666666666671</v>
      </c>
      <c r="O46">
        <v>0</v>
      </c>
      <c r="P46">
        <v>28.8</v>
      </c>
      <c r="Q46">
        <v>88.8</v>
      </c>
      <c r="R46">
        <v>75.599999999999994</v>
      </c>
      <c r="S46">
        <v>19.879999999999889</v>
      </c>
      <c r="T46">
        <v>0.28000000000000808</v>
      </c>
      <c r="U46">
        <v>1.239999999999984</v>
      </c>
      <c r="V46">
        <v>26.59999999999976</v>
      </c>
      <c r="W46">
        <v>47.999999999999673</v>
      </c>
      <c r="X46">
        <v>128</v>
      </c>
      <c r="Y46">
        <v>175.99999999999969</v>
      </c>
      <c r="Z46">
        <v>180</v>
      </c>
      <c r="AA46">
        <v>0</v>
      </c>
      <c r="AB46">
        <v>0</v>
      </c>
      <c r="AC46">
        <v>0.8</v>
      </c>
      <c r="AD46">
        <v>53.199999999999513</v>
      </c>
      <c r="AE46">
        <v>39.759999999999771</v>
      </c>
      <c r="AF46">
        <v>0.56000000000001615</v>
      </c>
      <c r="AG46">
        <v>1.679999999999968</v>
      </c>
      <c r="AH46">
        <v>0</v>
      </c>
    </row>
    <row r="47" spans="1:34" x14ac:dyDescent="0.2">
      <c r="A47">
        <v>314</v>
      </c>
      <c r="B47">
        <v>35</v>
      </c>
      <c r="C47">
        <v>416.66666666666669</v>
      </c>
      <c r="D47">
        <v>500</v>
      </c>
      <c r="E47">
        <v>416.66666666666669</v>
      </c>
      <c r="F47">
        <f t="shared" si="2"/>
        <v>916.66666666666674</v>
      </c>
      <c r="G47">
        <f t="shared" si="2"/>
        <v>916.66666666666674</v>
      </c>
      <c r="H47">
        <v>1333.333333333333</v>
      </c>
      <c r="I47">
        <v>0.35714285714285721</v>
      </c>
      <c r="J47">
        <v>0.42857142857142849</v>
      </c>
      <c r="K47">
        <v>0.35714285714285721</v>
      </c>
      <c r="L47">
        <f t="shared" si="3"/>
        <v>0.7857142857142857</v>
      </c>
      <c r="M47">
        <f t="shared" si="3"/>
        <v>0.7857142857142857</v>
      </c>
      <c r="N47">
        <v>1.142857142857143</v>
      </c>
      <c r="O47">
        <v>0</v>
      </c>
      <c r="P47">
        <v>56.4</v>
      </c>
      <c r="Q47">
        <v>0</v>
      </c>
      <c r="R47">
        <v>93.6</v>
      </c>
      <c r="S47">
        <v>4.6285714285715791</v>
      </c>
      <c r="T47">
        <v>6.7714285714285829</v>
      </c>
      <c r="U47">
        <v>6.0857142857142916</v>
      </c>
      <c r="V47">
        <v>25.371428571428499</v>
      </c>
      <c r="W47">
        <v>42.857142857142797</v>
      </c>
      <c r="X47">
        <v>137.1428571428572</v>
      </c>
      <c r="Y47">
        <v>180</v>
      </c>
      <c r="Z47">
        <v>180</v>
      </c>
      <c r="AA47">
        <v>0</v>
      </c>
      <c r="AB47">
        <v>13.542857142857169</v>
      </c>
      <c r="AC47">
        <v>12.17142857142858</v>
      </c>
      <c r="AD47">
        <v>50.742857142857012</v>
      </c>
      <c r="AE47">
        <v>9.2571428571431582</v>
      </c>
      <c r="AF47">
        <v>0</v>
      </c>
      <c r="AG47">
        <v>0</v>
      </c>
      <c r="AH47">
        <v>0</v>
      </c>
    </row>
    <row r="48" spans="1:34" x14ac:dyDescent="0.2">
      <c r="A48">
        <v>314</v>
      </c>
      <c r="B48">
        <v>32.5</v>
      </c>
      <c r="C48">
        <v>416.66666666666669</v>
      </c>
      <c r="D48">
        <v>500</v>
      </c>
      <c r="E48">
        <v>416.66666666666669</v>
      </c>
      <c r="F48">
        <f t="shared" si="2"/>
        <v>916.66666666666674</v>
      </c>
      <c r="G48">
        <f t="shared" si="2"/>
        <v>916.66666666666674</v>
      </c>
      <c r="H48">
        <v>1333.333333333333</v>
      </c>
      <c r="I48">
        <v>0.38461538461538458</v>
      </c>
      <c r="J48">
        <v>0.46153846153846162</v>
      </c>
      <c r="K48">
        <v>0.38461538461538458</v>
      </c>
      <c r="L48">
        <f t="shared" si="3"/>
        <v>0.84615384615384626</v>
      </c>
      <c r="M48">
        <f t="shared" si="3"/>
        <v>0.84615384615384626</v>
      </c>
      <c r="N48">
        <v>1.2307692307692311</v>
      </c>
      <c r="O48">
        <v>0</v>
      </c>
      <c r="P48">
        <v>34.799999999999997</v>
      </c>
      <c r="Q48">
        <v>78</v>
      </c>
      <c r="R48">
        <v>28.8</v>
      </c>
      <c r="S48">
        <v>19.523076923077149</v>
      </c>
      <c r="T48">
        <v>10.70769230769228</v>
      </c>
      <c r="U48">
        <v>1.523076923076911</v>
      </c>
      <c r="V48">
        <v>0.55384615384605751</v>
      </c>
      <c r="W48">
        <v>32.307692307692292</v>
      </c>
      <c r="X48">
        <v>147.69230769230771</v>
      </c>
      <c r="Y48">
        <v>180</v>
      </c>
      <c r="Z48">
        <v>180</v>
      </c>
      <c r="AA48">
        <v>0</v>
      </c>
      <c r="AB48">
        <v>0</v>
      </c>
      <c r="AC48">
        <v>0</v>
      </c>
      <c r="AD48">
        <v>1.107692307692115</v>
      </c>
      <c r="AE48">
        <v>39.046153846154297</v>
      </c>
      <c r="AF48">
        <v>21.41538461538455</v>
      </c>
      <c r="AG48">
        <v>3.0461538461538211</v>
      </c>
      <c r="AH48">
        <v>0</v>
      </c>
    </row>
    <row r="49" spans="1:34" x14ac:dyDescent="0.2">
      <c r="A49">
        <v>314</v>
      </c>
      <c r="B49">
        <v>30</v>
      </c>
      <c r="C49">
        <v>416.66666666666669</v>
      </c>
      <c r="D49">
        <v>500</v>
      </c>
      <c r="E49">
        <v>416.66666666666669</v>
      </c>
      <c r="F49">
        <f t="shared" si="2"/>
        <v>916.66666666666674</v>
      </c>
      <c r="G49">
        <f t="shared" si="2"/>
        <v>916.66666666666674</v>
      </c>
      <c r="H49">
        <v>1333.333333333333</v>
      </c>
      <c r="I49">
        <v>0.41666666666666669</v>
      </c>
      <c r="J49">
        <v>0.5</v>
      </c>
      <c r="K49">
        <v>0.41666666666666669</v>
      </c>
      <c r="L49">
        <f t="shared" si="3"/>
        <v>0.91666666666666674</v>
      </c>
      <c r="M49">
        <f t="shared" si="3"/>
        <v>0.91666666666666674</v>
      </c>
      <c r="N49">
        <v>1.333333333333333</v>
      </c>
      <c r="O49">
        <v>0</v>
      </c>
      <c r="P49">
        <v>38.4</v>
      </c>
      <c r="Q49">
        <v>86.399999999999991</v>
      </c>
      <c r="R49">
        <v>40.799999999999997</v>
      </c>
      <c r="S49">
        <v>15.800000000000241</v>
      </c>
      <c r="T49">
        <v>3.7999999999997982</v>
      </c>
      <c r="U49">
        <v>0</v>
      </c>
      <c r="V49">
        <v>0.4</v>
      </c>
      <c r="W49">
        <v>20</v>
      </c>
      <c r="X49">
        <v>160</v>
      </c>
      <c r="Y49">
        <v>180</v>
      </c>
      <c r="Z49">
        <v>180</v>
      </c>
      <c r="AA49">
        <v>0</v>
      </c>
      <c r="AB49">
        <v>0</v>
      </c>
      <c r="AC49">
        <v>0</v>
      </c>
      <c r="AD49">
        <v>0.8</v>
      </c>
      <c r="AE49">
        <v>31.600000000000481</v>
      </c>
      <c r="AF49">
        <v>7.5999999999995964</v>
      </c>
      <c r="AG49">
        <v>0</v>
      </c>
      <c r="AH49">
        <v>0</v>
      </c>
    </row>
    <row r="50" spans="1:34" x14ac:dyDescent="0.2">
      <c r="A50">
        <v>314</v>
      </c>
      <c r="B50">
        <v>27.5</v>
      </c>
      <c r="C50">
        <v>416.66666666666669</v>
      </c>
      <c r="D50">
        <v>500</v>
      </c>
      <c r="E50">
        <v>416.66666666666669</v>
      </c>
      <c r="F50">
        <f t="shared" si="2"/>
        <v>916.66666666666674</v>
      </c>
      <c r="G50">
        <f t="shared" si="2"/>
        <v>916.66666666666674</v>
      </c>
      <c r="H50">
        <v>1333.333333333333</v>
      </c>
      <c r="I50">
        <v>0.45454545454545459</v>
      </c>
      <c r="J50">
        <v>0.54545454545454553</v>
      </c>
      <c r="K50">
        <v>0.45454545454545459</v>
      </c>
      <c r="L50">
        <f t="shared" si="3"/>
        <v>1.0000000000000002</v>
      </c>
      <c r="M50">
        <f t="shared" si="3"/>
        <v>1.0000000000000002</v>
      </c>
      <c r="N50">
        <v>1.454545454545455</v>
      </c>
      <c r="O50">
        <v>0</v>
      </c>
      <c r="P50">
        <v>55.2</v>
      </c>
      <c r="Q50">
        <v>0</v>
      </c>
      <c r="R50">
        <v>55.2</v>
      </c>
      <c r="S50">
        <v>0</v>
      </c>
      <c r="T50">
        <v>0.32727272727271262</v>
      </c>
      <c r="U50">
        <v>5.1272727272727128</v>
      </c>
      <c r="V50">
        <v>-1.212659602363904E-13</v>
      </c>
      <c r="W50">
        <v>5.4545454545452827</v>
      </c>
      <c r="X50">
        <v>174.54545454545459</v>
      </c>
      <c r="Y50">
        <v>179.9999999999998</v>
      </c>
      <c r="Z50">
        <v>180</v>
      </c>
      <c r="AA50">
        <v>0</v>
      </c>
      <c r="AB50">
        <v>0.65454545454542512</v>
      </c>
      <c r="AC50">
        <v>0</v>
      </c>
      <c r="AD50">
        <v>-2.4253192047278091E-13</v>
      </c>
      <c r="AE50">
        <v>0</v>
      </c>
      <c r="AF50">
        <v>0</v>
      </c>
      <c r="AG50">
        <v>10.254545454545431</v>
      </c>
      <c r="AH50">
        <v>0</v>
      </c>
    </row>
    <row r="51" spans="1:34" x14ac:dyDescent="0.2">
      <c r="A51">
        <v>314</v>
      </c>
      <c r="B51">
        <v>25</v>
      </c>
      <c r="C51">
        <v>416.66666666666669</v>
      </c>
      <c r="D51">
        <v>500</v>
      </c>
      <c r="E51">
        <v>416.66666666666669</v>
      </c>
      <c r="F51">
        <f t="shared" si="2"/>
        <v>916.66666666666674</v>
      </c>
      <c r="G51">
        <f t="shared" si="2"/>
        <v>916.66666666666674</v>
      </c>
      <c r="H51">
        <v>1333.333333333333</v>
      </c>
      <c r="I51">
        <v>0.5</v>
      </c>
      <c r="J51">
        <v>0.6</v>
      </c>
      <c r="K51">
        <v>0.5</v>
      </c>
      <c r="L51">
        <f t="shared" si="3"/>
        <v>1.1000000000000001</v>
      </c>
      <c r="M51">
        <f t="shared" si="3"/>
        <v>1.1000000000000001</v>
      </c>
      <c r="N51">
        <v>1.6</v>
      </c>
      <c r="O51">
        <v>0</v>
      </c>
      <c r="P51">
        <v>48</v>
      </c>
      <c r="Q51">
        <v>0</v>
      </c>
      <c r="R51">
        <v>70.8</v>
      </c>
      <c r="S51">
        <v>2.2799999999999678</v>
      </c>
      <c r="T51">
        <v>9.1199999999998713</v>
      </c>
      <c r="U51">
        <v>0</v>
      </c>
      <c r="V51">
        <v>0.6</v>
      </c>
      <c r="W51">
        <v>11.999999999999829</v>
      </c>
      <c r="X51">
        <v>192</v>
      </c>
      <c r="Y51">
        <v>203.9999999999998</v>
      </c>
      <c r="Z51">
        <v>180</v>
      </c>
      <c r="AA51">
        <v>0</v>
      </c>
      <c r="AB51">
        <v>0</v>
      </c>
      <c r="AC51">
        <v>0</v>
      </c>
      <c r="AD51">
        <v>1.2</v>
      </c>
      <c r="AE51">
        <v>4.5599999999999357</v>
      </c>
      <c r="AF51">
        <v>18.239999999999739</v>
      </c>
      <c r="AG51">
        <v>0</v>
      </c>
      <c r="AH51">
        <v>0</v>
      </c>
    </row>
    <row r="52" spans="1:34" x14ac:dyDescent="0.2">
      <c r="A52">
        <v>314</v>
      </c>
      <c r="B52">
        <v>22.5</v>
      </c>
      <c r="C52">
        <v>416.66666666666669</v>
      </c>
      <c r="D52">
        <v>500</v>
      </c>
      <c r="E52">
        <v>416.66666666666669</v>
      </c>
      <c r="F52">
        <f t="shared" si="2"/>
        <v>916.66666666666674</v>
      </c>
      <c r="G52">
        <f t="shared" si="2"/>
        <v>916.66666666666674</v>
      </c>
      <c r="H52">
        <v>1333.333333333333</v>
      </c>
      <c r="I52">
        <v>0.55555555555555558</v>
      </c>
      <c r="J52">
        <v>0.66666666666666663</v>
      </c>
      <c r="K52">
        <v>0.55555555555555558</v>
      </c>
      <c r="L52">
        <f t="shared" si="3"/>
        <v>1.2222222222222223</v>
      </c>
      <c r="M52">
        <f t="shared" si="3"/>
        <v>1.2222222222222223</v>
      </c>
      <c r="N52">
        <v>1.7777777777777779</v>
      </c>
      <c r="O52">
        <v>0</v>
      </c>
      <c r="P52">
        <v>55.2</v>
      </c>
      <c r="Q52">
        <v>3.6</v>
      </c>
      <c r="R52">
        <v>93.6</v>
      </c>
      <c r="S52">
        <v>5.3066666666668931</v>
      </c>
      <c r="T52">
        <v>17.42666666666652</v>
      </c>
      <c r="U52">
        <v>3.799999999999959</v>
      </c>
      <c r="V52">
        <v>0.13333333333325251</v>
      </c>
      <c r="W52">
        <v>26.6666666666666</v>
      </c>
      <c r="X52">
        <v>213.3333333333334</v>
      </c>
      <c r="Y52">
        <v>240</v>
      </c>
      <c r="Z52">
        <v>180</v>
      </c>
      <c r="AA52">
        <v>0</v>
      </c>
      <c r="AB52">
        <v>0</v>
      </c>
      <c r="AC52">
        <v>0</v>
      </c>
      <c r="AD52">
        <v>0.26666666666650501</v>
      </c>
      <c r="AE52">
        <v>10.61333333333379</v>
      </c>
      <c r="AF52">
        <v>34.85333333333304</v>
      </c>
      <c r="AG52">
        <v>7.5999999999999188</v>
      </c>
      <c r="AH52">
        <v>0</v>
      </c>
    </row>
    <row r="53" spans="1:34" x14ac:dyDescent="0.2">
      <c r="A53">
        <v>314</v>
      </c>
      <c r="B53">
        <v>20</v>
      </c>
      <c r="C53">
        <v>416.66666666666669</v>
      </c>
      <c r="D53">
        <v>500</v>
      </c>
      <c r="E53">
        <v>416.66666666666669</v>
      </c>
      <c r="F53">
        <f t="shared" si="2"/>
        <v>916.66666666666674</v>
      </c>
      <c r="G53">
        <f t="shared" si="2"/>
        <v>916.66666666666674</v>
      </c>
      <c r="H53">
        <v>1333.333333333333</v>
      </c>
      <c r="I53">
        <v>0.62500000000000011</v>
      </c>
      <c r="J53">
        <v>0.75</v>
      </c>
      <c r="K53">
        <v>0.62500000000000011</v>
      </c>
      <c r="L53">
        <f t="shared" si="3"/>
        <v>1.3750000000000002</v>
      </c>
      <c r="M53">
        <f t="shared" si="3"/>
        <v>1.3750000000000002</v>
      </c>
      <c r="N53">
        <v>2</v>
      </c>
      <c r="O53">
        <v>0</v>
      </c>
      <c r="P53">
        <v>62.4</v>
      </c>
      <c r="Q53">
        <v>43.2</v>
      </c>
      <c r="R53">
        <v>118.8</v>
      </c>
      <c r="S53">
        <v>8.5799999999998864</v>
      </c>
      <c r="T53">
        <v>13.080000000000011</v>
      </c>
      <c r="U53">
        <v>2.034000000000014</v>
      </c>
      <c r="V53">
        <v>0.30599999999928212</v>
      </c>
      <c r="W53">
        <v>23.999999999999229</v>
      </c>
      <c r="X53">
        <v>240</v>
      </c>
      <c r="Y53">
        <v>263.9999999999992</v>
      </c>
      <c r="Z53">
        <v>180</v>
      </c>
      <c r="AA53">
        <v>0</v>
      </c>
      <c r="AB53">
        <v>0.47999999999988679</v>
      </c>
      <c r="AC53">
        <v>0.10800000000001291</v>
      </c>
      <c r="AD53">
        <v>0.61199999999856425</v>
      </c>
      <c r="AE53">
        <v>17.159999999999769</v>
      </c>
      <c r="AF53">
        <v>25.680000000000131</v>
      </c>
      <c r="AG53">
        <v>3.960000000000016</v>
      </c>
      <c r="AH53">
        <v>0</v>
      </c>
    </row>
    <row r="54" spans="1:34" x14ac:dyDescent="0.2">
      <c r="A54">
        <v>321</v>
      </c>
      <c r="B54">
        <v>50</v>
      </c>
      <c r="C54">
        <v>416.66666666666669</v>
      </c>
      <c r="D54">
        <v>833.33333333333337</v>
      </c>
      <c r="E54">
        <v>416.66666666666669</v>
      </c>
      <c r="F54">
        <f t="shared" si="2"/>
        <v>1250</v>
      </c>
      <c r="G54">
        <f t="shared" si="2"/>
        <v>1250</v>
      </c>
      <c r="H54">
        <v>1666.666666666667</v>
      </c>
      <c r="I54">
        <v>0.25</v>
      </c>
      <c r="J54">
        <v>0.5</v>
      </c>
      <c r="K54">
        <v>0.25</v>
      </c>
      <c r="L54">
        <f t="shared" si="3"/>
        <v>0.75</v>
      </c>
      <c r="M54">
        <f t="shared" si="3"/>
        <v>0.75</v>
      </c>
      <c r="N54">
        <v>1</v>
      </c>
      <c r="O54">
        <v>0</v>
      </c>
      <c r="P54">
        <v>16.8</v>
      </c>
      <c r="Q54">
        <v>87.6</v>
      </c>
      <c r="R54">
        <v>118.8</v>
      </c>
      <c r="S54">
        <v>23.39999999999992</v>
      </c>
      <c r="T54">
        <v>13.32000000000011</v>
      </c>
      <c r="U54">
        <v>11.26799999999999</v>
      </c>
      <c r="V54">
        <v>1.199999999961518E-2</v>
      </c>
      <c r="W54">
        <v>47.999999999999517</v>
      </c>
      <c r="X54">
        <v>120</v>
      </c>
      <c r="Y54">
        <v>167.99999999999949</v>
      </c>
      <c r="Z54">
        <v>180</v>
      </c>
      <c r="AA54">
        <v>0</v>
      </c>
      <c r="AB54">
        <v>0.960000000000097</v>
      </c>
      <c r="AC54">
        <v>0.21600000000002589</v>
      </c>
      <c r="AD54">
        <v>2.399999999923037E-2</v>
      </c>
      <c r="AE54">
        <v>46.799999999999841</v>
      </c>
      <c r="AF54">
        <v>25.680000000000131</v>
      </c>
      <c r="AG54">
        <v>22.319999999999951</v>
      </c>
      <c r="AH54">
        <v>0</v>
      </c>
    </row>
    <row r="55" spans="1:34" x14ac:dyDescent="0.2">
      <c r="A55">
        <v>321</v>
      </c>
      <c r="B55">
        <v>47.5</v>
      </c>
      <c r="C55">
        <v>416.66666666666669</v>
      </c>
      <c r="D55">
        <v>833.33333333333337</v>
      </c>
      <c r="E55">
        <v>416.66666666666669</v>
      </c>
      <c r="F55">
        <f t="shared" si="2"/>
        <v>1250</v>
      </c>
      <c r="G55">
        <f t="shared" si="2"/>
        <v>1250</v>
      </c>
      <c r="H55">
        <v>1666.666666666667</v>
      </c>
      <c r="I55">
        <v>0.26315789473684209</v>
      </c>
      <c r="J55">
        <v>0.52631578947368429</v>
      </c>
      <c r="K55">
        <v>0.26315789473684209</v>
      </c>
      <c r="L55">
        <f t="shared" si="3"/>
        <v>0.78947368421052633</v>
      </c>
      <c r="M55">
        <f t="shared" si="3"/>
        <v>0.78947368421052633</v>
      </c>
      <c r="N55">
        <v>1.052631578947369</v>
      </c>
      <c r="O55">
        <v>0</v>
      </c>
      <c r="P55">
        <v>8.4</v>
      </c>
      <c r="Q55">
        <v>86.399999999999991</v>
      </c>
      <c r="R55">
        <v>118.8</v>
      </c>
      <c r="S55">
        <v>19.6107257617724</v>
      </c>
      <c r="T55">
        <v>10.288221606648261</v>
      </c>
      <c r="U55">
        <v>14.532631578947459</v>
      </c>
      <c r="V55">
        <v>0.41052631578944182</v>
      </c>
      <c r="W55">
        <v>44.842105263157208</v>
      </c>
      <c r="X55">
        <v>126.31578947368421</v>
      </c>
      <c r="Y55">
        <v>171.1578947368414</v>
      </c>
      <c r="Z55">
        <v>180</v>
      </c>
      <c r="AA55">
        <v>0</v>
      </c>
      <c r="AB55">
        <v>8.94315789473686</v>
      </c>
      <c r="AC55">
        <v>5.0778947368422651</v>
      </c>
      <c r="AD55">
        <v>0.82105263157888353</v>
      </c>
      <c r="AE55">
        <v>39.2214515235448</v>
      </c>
      <c r="AF55">
        <v>11.633285318559659</v>
      </c>
      <c r="AG55">
        <v>23.987368421052651</v>
      </c>
      <c r="AH55">
        <v>0</v>
      </c>
    </row>
    <row r="56" spans="1:34" x14ac:dyDescent="0.2">
      <c r="A56">
        <v>321</v>
      </c>
      <c r="B56">
        <v>45</v>
      </c>
      <c r="C56">
        <v>416.66666666666669</v>
      </c>
      <c r="D56">
        <v>833.33333333333337</v>
      </c>
      <c r="E56">
        <v>416.66666666666669</v>
      </c>
      <c r="F56">
        <f t="shared" si="2"/>
        <v>1250</v>
      </c>
      <c r="G56">
        <f t="shared" si="2"/>
        <v>1250</v>
      </c>
      <c r="H56">
        <v>1666.666666666667</v>
      </c>
      <c r="I56">
        <v>0.27777777777777779</v>
      </c>
      <c r="J56">
        <v>0.55555555555555558</v>
      </c>
      <c r="K56">
        <v>0.27777777777777779</v>
      </c>
      <c r="L56">
        <f t="shared" si="3"/>
        <v>0.83333333333333337</v>
      </c>
      <c r="M56">
        <f t="shared" si="3"/>
        <v>0.83333333333333337</v>
      </c>
      <c r="N56">
        <v>1.1111111111111109</v>
      </c>
      <c r="O56">
        <v>0</v>
      </c>
      <c r="P56">
        <v>9.6</v>
      </c>
      <c r="Q56">
        <v>91.2</v>
      </c>
      <c r="R56">
        <v>4.8</v>
      </c>
      <c r="S56">
        <v>17.459555555555639</v>
      </c>
      <c r="T56">
        <v>8.2204444444443254</v>
      </c>
      <c r="U56">
        <v>15.520000000000071</v>
      </c>
      <c r="V56">
        <v>0.13333333333329289</v>
      </c>
      <c r="W56">
        <v>41.333333333333158</v>
      </c>
      <c r="X56">
        <v>133.33333333333329</v>
      </c>
      <c r="Y56">
        <v>174.66666666666649</v>
      </c>
      <c r="Z56">
        <v>180</v>
      </c>
      <c r="AA56">
        <v>0</v>
      </c>
      <c r="AB56">
        <v>9.386666666666537</v>
      </c>
      <c r="AC56">
        <v>5.280000000000129</v>
      </c>
      <c r="AD56">
        <v>0.26666666666658578</v>
      </c>
      <c r="AE56">
        <v>34.919111111111278</v>
      </c>
      <c r="AF56">
        <v>7.054222222222112</v>
      </c>
      <c r="AG56">
        <v>25.760000000000019</v>
      </c>
      <c r="AH56">
        <v>0</v>
      </c>
    </row>
    <row r="57" spans="1:34" x14ac:dyDescent="0.2">
      <c r="A57">
        <v>321</v>
      </c>
      <c r="B57">
        <v>42.5</v>
      </c>
      <c r="C57">
        <v>416.66666666666669</v>
      </c>
      <c r="D57">
        <v>833.33333333333337</v>
      </c>
      <c r="E57">
        <v>416.66666666666669</v>
      </c>
      <c r="F57">
        <f t="shared" si="2"/>
        <v>1250</v>
      </c>
      <c r="G57">
        <f t="shared" si="2"/>
        <v>1250</v>
      </c>
      <c r="H57">
        <v>1666.666666666667</v>
      </c>
      <c r="I57">
        <v>0.29411764705882348</v>
      </c>
      <c r="J57">
        <v>0.58823529411764708</v>
      </c>
      <c r="K57">
        <v>0.29411764705882348</v>
      </c>
      <c r="L57">
        <f t="shared" si="3"/>
        <v>0.88235294117647056</v>
      </c>
      <c r="M57">
        <f t="shared" si="3"/>
        <v>0.88235294117647056</v>
      </c>
      <c r="N57">
        <v>1.1764705882352939</v>
      </c>
      <c r="O57">
        <v>0</v>
      </c>
      <c r="P57">
        <v>73.2</v>
      </c>
      <c r="Q57">
        <v>25.2</v>
      </c>
      <c r="R57">
        <v>62.4</v>
      </c>
      <c r="S57">
        <v>1.2743667820067559</v>
      </c>
      <c r="T57">
        <v>21.342103806228419</v>
      </c>
      <c r="U57">
        <v>15.25411764705883</v>
      </c>
      <c r="V57">
        <v>0.95294117647063104</v>
      </c>
      <c r="W57">
        <v>38.823529411764447</v>
      </c>
      <c r="X57">
        <v>141.1764705882353</v>
      </c>
      <c r="Y57">
        <v>179.9999999999998</v>
      </c>
      <c r="Z57">
        <v>180</v>
      </c>
      <c r="AA57">
        <v>0</v>
      </c>
      <c r="AB57">
        <v>37.905882352941177</v>
      </c>
      <c r="AC57">
        <v>1.4117647058823619</v>
      </c>
      <c r="AD57">
        <v>1.9058823529412621</v>
      </c>
      <c r="AE57">
        <v>2.5487335640135118</v>
      </c>
      <c r="AF57">
        <v>4.7783252595156629</v>
      </c>
      <c r="AG57">
        <v>29.096470588235309</v>
      </c>
      <c r="AH57">
        <v>0</v>
      </c>
    </row>
    <row r="58" spans="1:34" x14ac:dyDescent="0.2">
      <c r="A58">
        <v>321</v>
      </c>
      <c r="B58">
        <v>40</v>
      </c>
      <c r="C58">
        <v>416.66666666666669</v>
      </c>
      <c r="D58">
        <v>833.33333333333337</v>
      </c>
      <c r="E58">
        <v>416.66666666666669</v>
      </c>
      <c r="F58">
        <f t="shared" si="2"/>
        <v>1250</v>
      </c>
      <c r="G58">
        <f t="shared" si="2"/>
        <v>1250</v>
      </c>
      <c r="H58">
        <v>1666.666666666667</v>
      </c>
      <c r="I58">
        <v>0.31250000000000011</v>
      </c>
      <c r="J58">
        <v>0.62500000000000011</v>
      </c>
      <c r="K58">
        <v>0.31250000000000011</v>
      </c>
      <c r="L58">
        <f t="shared" si="3"/>
        <v>0.9375</v>
      </c>
      <c r="M58">
        <f t="shared" si="3"/>
        <v>0.9375</v>
      </c>
      <c r="N58">
        <v>1.25</v>
      </c>
      <c r="O58">
        <v>0</v>
      </c>
      <c r="P58">
        <v>32.4</v>
      </c>
      <c r="Q58">
        <v>88.8</v>
      </c>
      <c r="R58">
        <v>30</v>
      </c>
      <c r="S58">
        <v>19.350000000000001</v>
      </c>
      <c r="T58">
        <v>0</v>
      </c>
      <c r="U58">
        <v>10.65</v>
      </c>
      <c r="V58">
        <v>0</v>
      </c>
      <c r="W58">
        <v>30</v>
      </c>
      <c r="X58">
        <v>150</v>
      </c>
      <c r="Y58">
        <v>180</v>
      </c>
      <c r="Z58">
        <v>180</v>
      </c>
      <c r="AA58">
        <v>0</v>
      </c>
      <c r="AB58">
        <v>0</v>
      </c>
      <c r="AC58">
        <v>0</v>
      </c>
      <c r="AD58">
        <v>0</v>
      </c>
      <c r="AE58">
        <v>38.700000000000003</v>
      </c>
      <c r="AF58">
        <v>0</v>
      </c>
      <c r="AG58">
        <v>21.3</v>
      </c>
      <c r="AH58">
        <v>0</v>
      </c>
    </row>
    <row r="59" spans="1:34" x14ac:dyDescent="0.2">
      <c r="A59">
        <v>321</v>
      </c>
      <c r="B59">
        <v>37.5</v>
      </c>
      <c r="C59">
        <v>416.66666666666669</v>
      </c>
      <c r="D59">
        <v>833.33333333333337</v>
      </c>
      <c r="E59">
        <v>416.66666666666669</v>
      </c>
      <c r="F59">
        <f t="shared" si="2"/>
        <v>1250</v>
      </c>
      <c r="G59">
        <f t="shared" si="2"/>
        <v>1250</v>
      </c>
      <c r="H59">
        <v>1666.666666666667</v>
      </c>
      <c r="I59">
        <v>0.33333333333333343</v>
      </c>
      <c r="J59">
        <v>0.66666666666666674</v>
      </c>
      <c r="K59">
        <v>0.33333333333333343</v>
      </c>
      <c r="L59">
        <f t="shared" si="3"/>
        <v>1</v>
      </c>
      <c r="M59">
        <f t="shared" si="3"/>
        <v>1</v>
      </c>
      <c r="N59">
        <v>1.333333333333333</v>
      </c>
      <c r="O59">
        <v>0</v>
      </c>
      <c r="P59">
        <v>52.8</v>
      </c>
      <c r="Q59">
        <v>105.6</v>
      </c>
      <c r="R59">
        <v>52.8</v>
      </c>
      <c r="S59">
        <v>7.6800000000000077</v>
      </c>
      <c r="T59">
        <v>6.7200000000001134</v>
      </c>
      <c r="U59">
        <v>7.3599999999998547</v>
      </c>
      <c r="V59">
        <v>2.2399999999995388</v>
      </c>
      <c r="W59">
        <v>23.999999999999531</v>
      </c>
      <c r="X59">
        <v>160</v>
      </c>
      <c r="Y59">
        <v>183.99999999999949</v>
      </c>
      <c r="Z59">
        <v>180</v>
      </c>
      <c r="AA59">
        <v>0</v>
      </c>
      <c r="AB59">
        <v>12.8</v>
      </c>
      <c r="AC59">
        <v>1.9199999999998709</v>
      </c>
      <c r="AD59">
        <v>4.4799999999990776</v>
      </c>
      <c r="AE59">
        <v>15.360000000000021</v>
      </c>
      <c r="AF59">
        <v>0.64000000000022639</v>
      </c>
      <c r="AG59">
        <v>12.799999999999841</v>
      </c>
      <c r="AH59">
        <v>0</v>
      </c>
    </row>
    <row r="60" spans="1:34" x14ac:dyDescent="0.2">
      <c r="A60">
        <v>321</v>
      </c>
      <c r="B60">
        <v>35</v>
      </c>
      <c r="C60">
        <v>416.66666666666669</v>
      </c>
      <c r="D60">
        <v>833.33333333333337</v>
      </c>
      <c r="E60">
        <v>416.66666666666669</v>
      </c>
      <c r="F60">
        <f t="shared" si="2"/>
        <v>1250</v>
      </c>
      <c r="G60">
        <f t="shared" si="2"/>
        <v>1250</v>
      </c>
      <c r="H60">
        <v>1666.666666666667</v>
      </c>
      <c r="I60">
        <v>0.35714285714285721</v>
      </c>
      <c r="J60">
        <v>0.7142857142857143</v>
      </c>
      <c r="K60">
        <v>0.35714285714285721</v>
      </c>
      <c r="L60">
        <f t="shared" si="3"/>
        <v>1.0714285714285714</v>
      </c>
      <c r="M60">
        <f t="shared" si="3"/>
        <v>1.0714285714285714</v>
      </c>
      <c r="N60">
        <v>1.428571428571429</v>
      </c>
      <c r="O60">
        <v>0</v>
      </c>
      <c r="P60">
        <v>61.2</v>
      </c>
      <c r="Q60">
        <v>2.4</v>
      </c>
      <c r="R60">
        <v>79.2</v>
      </c>
      <c r="S60">
        <v>3.4628571428571169</v>
      </c>
      <c r="T60">
        <v>15.137142857142839</v>
      </c>
      <c r="U60">
        <v>0.32571428571423489</v>
      </c>
      <c r="V60">
        <v>5.0742857142856854</v>
      </c>
      <c r="W60">
        <v>23.99999999999962</v>
      </c>
      <c r="X60">
        <v>171.42857142857139</v>
      </c>
      <c r="Y60">
        <v>195.42857142857099</v>
      </c>
      <c r="Z60">
        <v>180</v>
      </c>
      <c r="AA60">
        <v>0</v>
      </c>
      <c r="AB60">
        <v>18.34285714285717</v>
      </c>
      <c r="AC60">
        <v>0.3085714285713847</v>
      </c>
      <c r="AD60">
        <v>10.148571428571371</v>
      </c>
      <c r="AE60">
        <v>6.9257142857142346</v>
      </c>
      <c r="AF60">
        <v>11.931428571428521</v>
      </c>
      <c r="AG60">
        <v>0.34285714285708507</v>
      </c>
      <c r="AH60">
        <v>0</v>
      </c>
    </row>
    <row r="61" spans="1:34" x14ac:dyDescent="0.2">
      <c r="A61">
        <v>321</v>
      </c>
      <c r="B61">
        <v>32.5</v>
      </c>
      <c r="C61">
        <v>416.66666666666669</v>
      </c>
      <c r="D61">
        <v>833.33333333333337</v>
      </c>
      <c r="E61">
        <v>416.66666666666669</v>
      </c>
      <c r="F61">
        <f t="shared" si="2"/>
        <v>1250</v>
      </c>
      <c r="G61">
        <f t="shared" si="2"/>
        <v>1250</v>
      </c>
      <c r="H61">
        <v>1666.666666666667</v>
      </c>
      <c r="I61">
        <v>0.38461538461538458</v>
      </c>
      <c r="J61">
        <v>0.76923076923076927</v>
      </c>
      <c r="K61">
        <v>0.38461538461538458</v>
      </c>
      <c r="L61">
        <f t="shared" si="3"/>
        <v>1.153846153846154</v>
      </c>
      <c r="M61">
        <f t="shared" si="3"/>
        <v>1.153846153846154</v>
      </c>
      <c r="N61">
        <v>1.538461538461539</v>
      </c>
      <c r="O61">
        <v>0</v>
      </c>
      <c r="P61">
        <v>55.2</v>
      </c>
      <c r="Q61">
        <v>2.4</v>
      </c>
      <c r="R61">
        <v>73.2</v>
      </c>
      <c r="S61">
        <v>6.0738461538462918</v>
      </c>
      <c r="T61">
        <v>15.52615384615355</v>
      </c>
      <c r="U61">
        <v>1.8553846153846181</v>
      </c>
      <c r="V61">
        <v>0.54461538461538217</v>
      </c>
      <c r="W61">
        <v>23.999999999999631</v>
      </c>
      <c r="X61">
        <v>184.61538461538461</v>
      </c>
      <c r="Y61">
        <v>208.6153846153843</v>
      </c>
      <c r="Z61">
        <v>180</v>
      </c>
      <c r="AA61">
        <v>0</v>
      </c>
      <c r="AB61">
        <v>9.0461538461538211</v>
      </c>
      <c r="AC61">
        <v>0.66461538461541447</v>
      </c>
      <c r="AD61">
        <v>1.0892307692307639</v>
      </c>
      <c r="AE61">
        <v>12.14769230769258</v>
      </c>
      <c r="AF61">
        <v>22.006153846153271</v>
      </c>
      <c r="AG61">
        <v>3.0461538461538211</v>
      </c>
      <c r="AH61">
        <v>0</v>
      </c>
    </row>
    <row r="62" spans="1:34" x14ac:dyDescent="0.2">
      <c r="A62">
        <v>321</v>
      </c>
      <c r="B62">
        <v>30</v>
      </c>
      <c r="C62">
        <v>416.66666666666669</v>
      </c>
      <c r="D62">
        <v>833.33333333333337</v>
      </c>
      <c r="E62">
        <v>416.66666666666669</v>
      </c>
      <c r="F62">
        <f t="shared" si="2"/>
        <v>1250</v>
      </c>
      <c r="G62">
        <f t="shared" si="2"/>
        <v>1250</v>
      </c>
      <c r="H62">
        <v>1666.666666666667</v>
      </c>
      <c r="I62">
        <v>0.41666666666666669</v>
      </c>
      <c r="J62">
        <v>0.83333333333333337</v>
      </c>
      <c r="K62">
        <v>0.41666666666666669</v>
      </c>
      <c r="L62">
        <f t="shared" si="3"/>
        <v>1.25</v>
      </c>
      <c r="M62">
        <f t="shared" si="3"/>
        <v>1.25</v>
      </c>
      <c r="N62">
        <v>1.666666666666667</v>
      </c>
      <c r="O62">
        <v>0</v>
      </c>
      <c r="P62">
        <v>55.2</v>
      </c>
      <c r="Q62">
        <v>9.6</v>
      </c>
      <c r="R62">
        <v>82.8</v>
      </c>
      <c r="S62">
        <v>5.9599999999998143</v>
      </c>
      <c r="T62">
        <v>20.839999999999819</v>
      </c>
      <c r="U62">
        <v>0.47999999999996767</v>
      </c>
      <c r="V62">
        <v>0.71999999999995146</v>
      </c>
      <c r="W62">
        <v>27.99999999999967</v>
      </c>
      <c r="X62">
        <v>200</v>
      </c>
      <c r="Y62">
        <v>227.99999999999969</v>
      </c>
      <c r="Z62">
        <v>180</v>
      </c>
      <c r="AA62">
        <v>0</v>
      </c>
      <c r="AB62">
        <v>5.2</v>
      </c>
      <c r="AC62">
        <v>0.95999999999993535</v>
      </c>
      <c r="AD62">
        <v>1.4399999999999029</v>
      </c>
      <c r="AE62">
        <v>11.91999999999963</v>
      </c>
      <c r="AF62">
        <v>36.479999999999642</v>
      </c>
      <c r="AG62">
        <v>0</v>
      </c>
      <c r="AH62">
        <v>0</v>
      </c>
    </row>
    <row r="63" spans="1:34" x14ac:dyDescent="0.2">
      <c r="A63">
        <v>321</v>
      </c>
      <c r="B63">
        <v>27.5</v>
      </c>
      <c r="C63">
        <v>416.66666666666669</v>
      </c>
      <c r="D63">
        <v>833.33333333333337</v>
      </c>
      <c r="E63">
        <v>416.66666666666669</v>
      </c>
      <c r="F63">
        <f t="shared" si="2"/>
        <v>1250</v>
      </c>
      <c r="G63">
        <f t="shared" si="2"/>
        <v>1250</v>
      </c>
      <c r="H63">
        <v>1666.666666666667</v>
      </c>
      <c r="I63">
        <v>0.45454545454545459</v>
      </c>
      <c r="J63">
        <v>0.90909090909090917</v>
      </c>
      <c r="K63">
        <v>0.45454545454545459</v>
      </c>
      <c r="L63">
        <f t="shared" si="3"/>
        <v>1.3636363636363638</v>
      </c>
      <c r="M63">
        <f t="shared" si="3"/>
        <v>1.3636363636363638</v>
      </c>
      <c r="N63">
        <v>1.8181818181818179</v>
      </c>
      <c r="O63">
        <v>0</v>
      </c>
      <c r="P63">
        <v>43.2</v>
      </c>
      <c r="Q63">
        <v>34.799999999999997</v>
      </c>
      <c r="R63">
        <v>3.6</v>
      </c>
      <c r="S63">
        <v>9.1090909090909307</v>
      </c>
      <c r="T63">
        <v>0</v>
      </c>
      <c r="U63">
        <v>0</v>
      </c>
      <c r="V63">
        <v>12.70909090909093</v>
      </c>
      <c r="W63">
        <v>21.81818181818171</v>
      </c>
      <c r="X63">
        <v>218.18181818181819</v>
      </c>
      <c r="Y63">
        <v>239.99999999999989</v>
      </c>
      <c r="Z63">
        <v>180</v>
      </c>
      <c r="AA63">
        <v>0</v>
      </c>
      <c r="AB63">
        <v>0</v>
      </c>
      <c r="AC63">
        <v>0</v>
      </c>
      <c r="AD63">
        <v>25.418181818181861</v>
      </c>
      <c r="AE63">
        <v>18.218181818181861</v>
      </c>
      <c r="AF63">
        <v>0</v>
      </c>
      <c r="AG63">
        <v>0</v>
      </c>
      <c r="AH63">
        <v>0</v>
      </c>
    </row>
    <row r="64" spans="1:34" x14ac:dyDescent="0.2">
      <c r="A64">
        <v>321</v>
      </c>
      <c r="B64">
        <v>25</v>
      </c>
      <c r="C64">
        <v>416.66666666666669</v>
      </c>
      <c r="D64">
        <v>833.33333333333337</v>
      </c>
      <c r="E64">
        <v>416.66666666666669</v>
      </c>
      <c r="F64">
        <f t="shared" si="2"/>
        <v>1250</v>
      </c>
      <c r="G64">
        <f t="shared" si="2"/>
        <v>1250</v>
      </c>
      <c r="H64">
        <v>1666.666666666667</v>
      </c>
      <c r="I64">
        <v>0.5</v>
      </c>
      <c r="J64">
        <v>1</v>
      </c>
      <c r="K64">
        <v>0.5</v>
      </c>
      <c r="L64">
        <f t="shared" si="3"/>
        <v>1.5</v>
      </c>
      <c r="M64">
        <f t="shared" si="3"/>
        <v>1.5</v>
      </c>
      <c r="N64">
        <v>2</v>
      </c>
      <c r="O64">
        <v>0</v>
      </c>
      <c r="P64">
        <v>48</v>
      </c>
      <c r="Q64">
        <v>36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240</v>
      </c>
      <c r="Y64">
        <v>240</v>
      </c>
      <c r="Z64">
        <v>180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">
      <c r="A65">
        <v>321</v>
      </c>
      <c r="B65">
        <v>22.5</v>
      </c>
      <c r="C65">
        <v>416.66666666666669</v>
      </c>
      <c r="D65">
        <v>833.33333333333337</v>
      </c>
      <c r="E65">
        <v>416.66666666666669</v>
      </c>
      <c r="F65">
        <f t="shared" si="2"/>
        <v>1250</v>
      </c>
      <c r="G65">
        <f t="shared" si="2"/>
        <v>1250</v>
      </c>
      <c r="H65">
        <v>1666.666666666667</v>
      </c>
      <c r="I65">
        <v>0.55555555555555558</v>
      </c>
      <c r="J65">
        <v>1.1111111111111109</v>
      </c>
      <c r="K65">
        <v>0.55555555555555558</v>
      </c>
      <c r="L65">
        <f t="shared" si="3"/>
        <v>1.6666666666666667</v>
      </c>
      <c r="M65">
        <f t="shared" si="3"/>
        <v>1.6666666666666667</v>
      </c>
      <c r="N65">
        <v>2.2222222222222219</v>
      </c>
      <c r="O65">
        <v>0</v>
      </c>
      <c r="P65">
        <v>42</v>
      </c>
      <c r="Q65">
        <v>32.4</v>
      </c>
      <c r="R65">
        <v>2.4</v>
      </c>
      <c r="S65">
        <v>3.1733333333332769</v>
      </c>
      <c r="T65">
        <v>12.62666666666664</v>
      </c>
      <c r="U65">
        <v>7.0799999999999272</v>
      </c>
      <c r="V65">
        <v>3.7866666666665778</v>
      </c>
      <c r="W65">
        <v>26.66666666666632</v>
      </c>
      <c r="X65">
        <v>266.66666666666669</v>
      </c>
      <c r="Y65">
        <v>293.33333333333297</v>
      </c>
      <c r="Z65">
        <v>180</v>
      </c>
      <c r="AA65">
        <v>0</v>
      </c>
      <c r="AB65">
        <v>10.133333333333249</v>
      </c>
      <c r="AC65">
        <v>6.5600000000000973</v>
      </c>
      <c r="AD65">
        <v>7.5733333333331556</v>
      </c>
      <c r="AE65">
        <v>6.3466666666665539</v>
      </c>
      <c r="AF65">
        <v>15.120000000000029</v>
      </c>
      <c r="AG65">
        <v>7.5999999999997572</v>
      </c>
      <c r="AH65">
        <v>0</v>
      </c>
    </row>
    <row r="66" spans="1:34" x14ac:dyDescent="0.2">
      <c r="A66">
        <v>321</v>
      </c>
      <c r="B66">
        <v>20</v>
      </c>
      <c r="C66">
        <v>416.66666666666669</v>
      </c>
      <c r="D66">
        <v>833.33333333333337</v>
      </c>
      <c r="E66">
        <v>416.66666666666669</v>
      </c>
      <c r="F66">
        <f t="shared" ref="F66:G97" si="4">C66+D66</f>
        <v>1250</v>
      </c>
      <c r="G66">
        <f t="shared" si="4"/>
        <v>1250</v>
      </c>
      <c r="H66">
        <v>1666.666666666667</v>
      </c>
      <c r="I66">
        <v>0.62500000000000011</v>
      </c>
      <c r="J66">
        <v>1.25</v>
      </c>
      <c r="K66">
        <v>0.62500000000000011</v>
      </c>
      <c r="L66">
        <f t="shared" ref="L66:M97" si="5">F66/(120*$B66*1000/3600)</f>
        <v>1.875</v>
      </c>
      <c r="M66">
        <f t="shared" si="5"/>
        <v>1.875</v>
      </c>
      <c r="N66">
        <v>2.5</v>
      </c>
      <c r="O66">
        <v>0</v>
      </c>
      <c r="P66">
        <v>62.4</v>
      </c>
      <c r="Q66">
        <v>103.2</v>
      </c>
      <c r="R66">
        <v>58.8</v>
      </c>
      <c r="S66">
        <v>8.5799999999999681</v>
      </c>
      <c r="T66">
        <v>13.079999999999851</v>
      </c>
      <c r="U66">
        <v>2.034000000000014</v>
      </c>
      <c r="V66">
        <v>0.30599999999948418</v>
      </c>
      <c r="W66">
        <v>23.999999999999179</v>
      </c>
      <c r="X66">
        <v>300</v>
      </c>
      <c r="Y66">
        <v>323.9999999999992</v>
      </c>
      <c r="Z66">
        <v>180</v>
      </c>
      <c r="AA66">
        <v>0</v>
      </c>
      <c r="AB66">
        <v>0.47999999999988679</v>
      </c>
      <c r="AC66">
        <v>0.1080000000000938</v>
      </c>
      <c r="AD66">
        <v>0.61199999999896848</v>
      </c>
      <c r="AE66">
        <v>17.15999999999994</v>
      </c>
      <c r="AF66">
        <v>25.679999999999801</v>
      </c>
      <c r="AG66">
        <v>3.9599999999999351</v>
      </c>
      <c r="AH66">
        <v>0</v>
      </c>
    </row>
    <row r="67" spans="1:34" x14ac:dyDescent="0.2">
      <c r="A67">
        <v>322</v>
      </c>
      <c r="B67">
        <v>50</v>
      </c>
      <c r="C67">
        <v>583.33333333333337</v>
      </c>
      <c r="D67">
        <v>833.33333333333337</v>
      </c>
      <c r="E67">
        <v>583.33333333333337</v>
      </c>
      <c r="F67">
        <f t="shared" si="4"/>
        <v>1416.6666666666667</v>
      </c>
      <c r="G67">
        <f t="shared" si="4"/>
        <v>1416.6666666666667</v>
      </c>
      <c r="H67">
        <v>2000</v>
      </c>
      <c r="I67">
        <v>0.35</v>
      </c>
      <c r="J67">
        <v>0.5</v>
      </c>
      <c r="K67">
        <v>0.35</v>
      </c>
      <c r="L67">
        <f t="shared" si="5"/>
        <v>0.85</v>
      </c>
      <c r="M67">
        <f t="shared" si="5"/>
        <v>0.85</v>
      </c>
      <c r="N67">
        <v>1.2</v>
      </c>
      <c r="O67">
        <v>0</v>
      </c>
      <c r="P67">
        <v>78</v>
      </c>
      <c r="Q67">
        <v>1.2</v>
      </c>
      <c r="R67">
        <v>64.8</v>
      </c>
      <c r="S67">
        <v>0</v>
      </c>
      <c r="T67">
        <v>26.400000000000041</v>
      </c>
      <c r="U67">
        <v>7.1999999999999593</v>
      </c>
      <c r="V67">
        <v>2.4</v>
      </c>
      <c r="W67">
        <v>35.999999999999801</v>
      </c>
      <c r="X67">
        <v>144</v>
      </c>
      <c r="Y67">
        <v>179.9999999999998</v>
      </c>
      <c r="Z67">
        <v>180</v>
      </c>
      <c r="AA67">
        <v>0</v>
      </c>
      <c r="AB67">
        <v>36</v>
      </c>
      <c r="AC67">
        <v>0</v>
      </c>
      <c r="AD67">
        <v>4.8</v>
      </c>
      <c r="AE67">
        <v>0</v>
      </c>
      <c r="AF67">
        <v>16.800000000000079</v>
      </c>
      <c r="AG67">
        <v>14.39999999999992</v>
      </c>
      <c r="AH67">
        <v>0</v>
      </c>
    </row>
    <row r="68" spans="1:34" x14ac:dyDescent="0.2">
      <c r="A68">
        <v>322</v>
      </c>
      <c r="B68">
        <v>47.5</v>
      </c>
      <c r="C68">
        <v>583.33333333333337</v>
      </c>
      <c r="D68">
        <v>833.33333333333337</v>
      </c>
      <c r="E68">
        <v>583.33333333333337</v>
      </c>
      <c r="F68">
        <f t="shared" si="4"/>
        <v>1416.6666666666667</v>
      </c>
      <c r="G68">
        <f t="shared" si="4"/>
        <v>1416.6666666666667</v>
      </c>
      <c r="H68">
        <v>2000</v>
      </c>
      <c r="I68">
        <v>0.36842105263157898</v>
      </c>
      <c r="J68">
        <v>0.52631578947368429</v>
      </c>
      <c r="K68">
        <v>0.36842105263157898</v>
      </c>
      <c r="L68">
        <f t="shared" si="5"/>
        <v>0.89473684210526327</v>
      </c>
      <c r="M68">
        <f t="shared" si="5"/>
        <v>0.89473684210526327</v>
      </c>
      <c r="N68">
        <v>1.263157894736842</v>
      </c>
      <c r="O68">
        <v>0</v>
      </c>
      <c r="P68">
        <v>32.4</v>
      </c>
      <c r="Q68">
        <v>84</v>
      </c>
      <c r="R68">
        <v>32.4</v>
      </c>
      <c r="S68">
        <v>21.694736842105261</v>
      </c>
      <c r="T68">
        <v>2.621052631578964</v>
      </c>
      <c r="U68">
        <v>3.6947368421052591</v>
      </c>
      <c r="V68">
        <v>0.41052631578948218</v>
      </c>
      <c r="W68">
        <v>28.421052631578931</v>
      </c>
      <c r="X68">
        <v>151.5789473684211</v>
      </c>
      <c r="Y68">
        <v>180</v>
      </c>
      <c r="Z68">
        <v>180</v>
      </c>
      <c r="AA68">
        <v>0</v>
      </c>
      <c r="AB68">
        <v>0</v>
      </c>
      <c r="AC68">
        <v>0</v>
      </c>
      <c r="AD68">
        <v>0.82105263157896435</v>
      </c>
      <c r="AE68">
        <v>43.389473684210508</v>
      </c>
      <c r="AF68">
        <v>5.2421052631579288</v>
      </c>
      <c r="AG68">
        <v>7.3894736842105182</v>
      </c>
      <c r="AH68">
        <v>0</v>
      </c>
    </row>
    <row r="69" spans="1:34" x14ac:dyDescent="0.2">
      <c r="A69">
        <v>322</v>
      </c>
      <c r="B69">
        <v>45</v>
      </c>
      <c r="C69">
        <v>583.33333333333337</v>
      </c>
      <c r="D69">
        <v>833.33333333333337</v>
      </c>
      <c r="E69">
        <v>583.33333333333337</v>
      </c>
      <c r="F69">
        <f t="shared" si="4"/>
        <v>1416.6666666666667</v>
      </c>
      <c r="G69">
        <f t="shared" si="4"/>
        <v>1416.6666666666667</v>
      </c>
      <c r="H69">
        <v>2000</v>
      </c>
      <c r="I69">
        <v>0.3888888888888889</v>
      </c>
      <c r="J69">
        <v>0.55555555555555558</v>
      </c>
      <c r="K69">
        <v>0.3888888888888889</v>
      </c>
      <c r="L69">
        <f t="shared" si="5"/>
        <v>0.94444444444444453</v>
      </c>
      <c r="M69">
        <f t="shared" si="5"/>
        <v>0.94444444444444453</v>
      </c>
      <c r="N69">
        <v>1.333333333333333</v>
      </c>
      <c r="O69">
        <v>0</v>
      </c>
      <c r="P69">
        <v>34.799999999999997</v>
      </c>
      <c r="Q69">
        <v>90</v>
      </c>
      <c r="R69">
        <v>40.799999999999997</v>
      </c>
      <c r="S69">
        <v>18.333333333333329</v>
      </c>
      <c r="T69">
        <v>0</v>
      </c>
      <c r="U69">
        <v>1.2666666666666671</v>
      </c>
      <c r="V69">
        <v>0.4</v>
      </c>
      <c r="W69">
        <v>20</v>
      </c>
      <c r="X69">
        <v>160</v>
      </c>
      <c r="Y69">
        <v>180</v>
      </c>
      <c r="Z69">
        <v>180</v>
      </c>
      <c r="AA69">
        <v>0</v>
      </c>
      <c r="AB69">
        <v>0</v>
      </c>
      <c r="AC69">
        <v>0</v>
      </c>
      <c r="AD69">
        <v>0.8</v>
      </c>
      <c r="AE69">
        <v>36.666666666666657</v>
      </c>
      <c r="AF69">
        <v>0</v>
      </c>
      <c r="AG69">
        <v>2.5333333333333332</v>
      </c>
      <c r="AH69">
        <v>0</v>
      </c>
    </row>
    <row r="70" spans="1:34" x14ac:dyDescent="0.2">
      <c r="A70">
        <v>322</v>
      </c>
      <c r="B70">
        <v>42.5</v>
      </c>
      <c r="C70">
        <v>583.33333333333337</v>
      </c>
      <c r="D70">
        <v>833.33333333333337</v>
      </c>
      <c r="E70">
        <v>583.33333333333337</v>
      </c>
      <c r="F70">
        <f t="shared" si="4"/>
        <v>1416.6666666666667</v>
      </c>
      <c r="G70">
        <f t="shared" si="4"/>
        <v>1416.6666666666667</v>
      </c>
      <c r="H70">
        <v>2000</v>
      </c>
      <c r="I70">
        <v>0.41176470588235292</v>
      </c>
      <c r="J70">
        <v>0.58823529411764708</v>
      </c>
      <c r="K70">
        <v>0.41176470588235292</v>
      </c>
      <c r="L70">
        <f t="shared" si="5"/>
        <v>1</v>
      </c>
      <c r="M70">
        <f t="shared" si="5"/>
        <v>1</v>
      </c>
      <c r="N70">
        <v>1.411764705882353</v>
      </c>
      <c r="O70">
        <v>0</v>
      </c>
      <c r="P70">
        <v>61.2</v>
      </c>
      <c r="Q70">
        <v>0</v>
      </c>
      <c r="R70">
        <v>61.2</v>
      </c>
      <c r="S70">
        <v>-8.0843973490926958E-14</v>
      </c>
      <c r="T70">
        <v>5.8941176470588186</v>
      </c>
      <c r="U70">
        <v>4.6941176470588992</v>
      </c>
      <c r="V70">
        <v>-1.6168794698185389E-13</v>
      </c>
      <c r="W70">
        <v>10.588235294117331</v>
      </c>
      <c r="X70">
        <v>169.41176470588229</v>
      </c>
      <c r="Y70">
        <v>179.99999999999969</v>
      </c>
      <c r="Z70">
        <v>180</v>
      </c>
      <c r="AA70">
        <v>0</v>
      </c>
      <c r="AB70">
        <v>11.788235294117641</v>
      </c>
      <c r="AC70">
        <v>0</v>
      </c>
      <c r="AD70">
        <v>-3.2337589396370778E-13</v>
      </c>
      <c r="AE70">
        <v>-1.6168794698185389E-13</v>
      </c>
      <c r="AF70">
        <v>0</v>
      </c>
      <c r="AG70">
        <v>9.3882352941177984</v>
      </c>
      <c r="AH70">
        <v>0</v>
      </c>
    </row>
    <row r="71" spans="1:34" x14ac:dyDescent="0.2">
      <c r="A71">
        <v>322</v>
      </c>
      <c r="B71">
        <v>40</v>
      </c>
      <c r="C71">
        <v>583.33333333333337</v>
      </c>
      <c r="D71">
        <v>833.33333333333337</v>
      </c>
      <c r="E71">
        <v>583.33333333333337</v>
      </c>
      <c r="F71">
        <f t="shared" si="4"/>
        <v>1416.6666666666667</v>
      </c>
      <c r="G71">
        <f t="shared" si="4"/>
        <v>1416.6666666666667</v>
      </c>
      <c r="H71">
        <v>2000</v>
      </c>
      <c r="I71">
        <v>0.43750000000000011</v>
      </c>
      <c r="J71">
        <v>0.62500000000000011</v>
      </c>
      <c r="K71">
        <v>0.43750000000000011</v>
      </c>
      <c r="L71">
        <f t="shared" si="5"/>
        <v>1.0625000000000002</v>
      </c>
      <c r="M71">
        <f t="shared" si="5"/>
        <v>1.0625000000000002</v>
      </c>
      <c r="N71">
        <v>1.5</v>
      </c>
      <c r="O71">
        <v>0</v>
      </c>
      <c r="P71">
        <v>52.8</v>
      </c>
      <c r="Q71">
        <v>102</v>
      </c>
      <c r="R71">
        <v>57.599999999999987</v>
      </c>
      <c r="S71">
        <v>1.3800000000000889</v>
      </c>
      <c r="T71">
        <v>0.26999999999999191</v>
      </c>
      <c r="U71">
        <v>0.53999999999998383</v>
      </c>
      <c r="V71">
        <v>0.80999999999989492</v>
      </c>
      <c r="W71">
        <v>2.9999999999997158</v>
      </c>
      <c r="X71">
        <v>180</v>
      </c>
      <c r="Y71">
        <v>182.99999999999969</v>
      </c>
      <c r="Z71">
        <v>180</v>
      </c>
      <c r="AA71">
        <v>0</v>
      </c>
      <c r="AB71">
        <v>0.3</v>
      </c>
      <c r="AC71">
        <v>1.0799999999999681</v>
      </c>
      <c r="AD71">
        <v>1.6199999999997901</v>
      </c>
      <c r="AE71">
        <v>2.7600000000001779</v>
      </c>
      <c r="AF71">
        <v>0.23999999999998381</v>
      </c>
      <c r="AG71">
        <v>0</v>
      </c>
      <c r="AH71">
        <v>0</v>
      </c>
    </row>
    <row r="72" spans="1:34" x14ac:dyDescent="0.2">
      <c r="A72">
        <v>322</v>
      </c>
      <c r="B72">
        <v>37.5</v>
      </c>
      <c r="C72">
        <v>583.33333333333337</v>
      </c>
      <c r="D72">
        <v>833.33333333333337</v>
      </c>
      <c r="E72">
        <v>583.33333333333337</v>
      </c>
      <c r="F72">
        <f t="shared" si="4"/>
        <v>1416.6666666666667</v>
      </c>
      <c r="G72">
        <f t="shared" si="4"/>
        <v>1416.6666666666667</v>
      </c>
      <c r="H72">
        <v>2000</v>
      </c>
      <c r="I72">
        <v>0.46666666666666667</v>
      </c>
      <c r="J72">
        <v>0.66666666666666674</v>
      </c>
      <c r="K72">
        <v>0.46666666666666667</v>
      </c>
      <c r="L72">
        <f t="shared" si="5"/>
        <v>1.1333333333333333</v>
      </c>
      <c r="M72">
        <f t="shared" si="5"/>
        <v>1.1333333333333333</v>
      </c>
      <c r="N72">
        <v>1.6</v>
      </c>
      <c r="O72">
        <v>0</v>
      </c>
      <c r="P72">
        <v>52.8</v>
      </c>
      <c r="Q72">
        <v>0</v>
      </c>
      <c r="R72">
        <v>67.2</v>
      </c>
      <c r="S72">
        <v>2.2400000000000651</v>
      </c>
      <c r="T72">
        <v>7.3600000000000563</v>
      </c>
      <c r="U72">
        <v>0</v>
      </c>
      <c r="V72">
        <v>2.3999999999997979</v>
      </c>
      <c r="W72">
        <v>11.999999999999799</v>
      </c>
      <c r="X72">
        <v>192</v>
      </c>
      <c r="Y72">
        <v>203.9999999999998</v>
      </c>
      <c r="Z72">
        <v>180</v>
      </c>
      <c r="AA72">
        <v>0</v>
      </c>
      <c r="AB72">
        <v>0</v>
      </c>
      <c r="AC72">
        <v>0</v>
      </c>
      <c r="AD72">
        <v>4.7999999999995957</v>
      </c>
      <c r="AE72">
        <v>4.4800000000001292</v>
      </c>
      <c r="AF72">
        <v>14.720000000000111</v>
      </c>
      <c r="AG72">
        <v>0</v>
      </c>
      <c r="AH72">
        <v>0</v>
      </c>
    </row>
    <row r="73" spans="1:34" x14ac:dyDescent="0.2">
      <c r="A73">
        <v>322</v>
      </c>
      <c r="B73">
        <v>35</v>
      </c>
      <c r="C73">
        <v>583.33333333333337</v>
      </c>
      <c r="D73">
        <v>833.33333333333337</v>
      </c>
      <c r="E73">
        <v>583.33333333333337</v>
      </c>
      <c r="F73">
        <f t="shared" si="4"/>
        <v>1416.6666666666667</v>
      </c>
      <c r="G73">
        <f t="shared" si="4"/>
        <v>1416.6666666666667</v>
      </c>
      <c r="H73">
        <v>2000</v>
      </c>
      <c r="I73">
        <v>0.5</v>
      </c>
      <c r="J73">
        <v>0.7142857142857143</v>
      </c>
      <c r="K73">
        <v>0.5</v>
      </c>
      <c r="L73">
        <f t="shared" si="5"/>
        <v>1.2142857142857142</v>
      </c>
      <c r="M73">
        <f t="shared" si="5"/>
        <v>1.2142857142857142</v>
      </c>
      <c r="N73">
        <v>1.714285714285714</v>
      </c>
      <c r="O73">
        <v>0</v>
      </c>
      <c r="P73">
        <v>48</v>
      </c>
      <c r="Q73">
        <v>0</v>
      </c>
      <c r="R73">
        <v>62.4</v>
      </c>
      <c r="S73">
        <v>2.8114285714284462</v>
      </c>
      <c r="T73">
        <v>11.24571428571431</v>
      </c>
      <c r="U73">
        <v>0.51428571428574898</v>
      </c>
      <c r="V73">
        <v>11.142857142857091</v>
      </c>
      <c r="W73">
        <v>25.71428571428541</v>
      </c>
      <c r="X73">
        <v>205.71428571428569</v>
      </c>
      <c r="Y73">
        <v>231.4285714285711</v>
      </c>
      <c r="Z73">
        <v>180</v>
      </c>
      <c r="AA73">
        <v>0</v>
      </c>
      <c r="AB73">
        <v>0</v>
      </c>
      <c r="AC73">
        <v>1.028571428571498</v>
      </c>
      <c r="AD73">
        <v>22.285714285714171</v>
      </c>
      <c r="AE73">
        <v>5.6228571428568914</v>
      </c>
      <c r="AF73">
        <v>22.49142857142861</v>
      </c>
      <c r="AG73">
        <v>0</v>
      </c>
      <c r="AH73">
        <v>0</v>
      </c>
    </row>
    <row r="74" spans="1:34" x14ac:dyDescent="0.2">
      <c r="A74">
        <v>322</v>
      </c>
      <c r="B74">
        <v>32.5</v>
      </c>
      <c r="C74">
        <v>583.33333333333337</v>
      </c>
      <c r="D74">
        <v>833.33333333333337</v>
      </c>
      <c r="E74">
        <v>583.33333333333337</v>
      </c>
      <c r="F74">
        <f t="shared" si="4"/>
        <v>1416.6666666666667</v>
      </c>
      <c r="G74">
        <f t="shared" si="4"/>
        <v>1416.6666666666667</v>
      </c>
      <c r="H74">
        <v>2000</v>
      </c>
      <c r="I74">
        <v>0.53846153846153855</v>
      </c>
      <c r="J74">
        <v>0.76923076923076927</v>
      </c>
      <c r="K74">
        <v>0.53846153846153855</v>
      </c>
      <c r="L74">
        <f t="shared" si="5"/>
        <v>1.3076923076923079</v>
      </c>
      <c r="M74">
        <f t="shared" si="5"/>
        <v>1.3076923076923079</v>
      </c>
      <c r="N74">
        <v>1.846153846153846</v>
      </c>
      <c r="O74">
        <v>0</v>
      </c>
      <c r="P74">
        <v>52.8</v>
      </c>
      <c r="Q74">
        <v>44.4</v>
      </c>
      <c r="R74">
        <v>3.6</v>
      </c>
      <c r="S74">
        <v>1.292307692307723</v>
      </c>
      <c r="T74">
        <v>6.1384615384615451</v>
      </c>
      <c r="U74">
        <v>3.7384615384615452</v>
      </c>
      <c r="V74">
        <v>7.2923076923076016</v>
      </c>
      <c r="W74">
        <v>18.461538461538321</v>
      </c>
      <c r="X74">
        <v>221.5384615384616</v>
      </c>
      <c r="Y74">
        <v>239.99999999999989</v>
      </c>
      <c r="Z74">
        <v>180</v>
      </c>
      <c r="AA74">
        <v>0</v>
      </c>
      <c r="AB74">
        <v>0</v>
      </c>
      <c r="AC74">
        <v>7.4769230769230894</v>
      </c>
      <c r="AD74">
        <v>14.5846153846152</v>
      </c>
      <c r="AE74">
        <v>2.5846153846154469</v>
      </c>
      <c r="AF74">
        <v>12.27692307692309</v>
      </c>
      <c r="AG74">
        <v>0</v>
      </c>
      <c r="AH74">
        <v>0</v>
      </c>
    </row>
    <row r="75" spans="1:34" x14ac:dyDescent="0.2">
      <c r="A75">
        <v>322</v>
      </c>
      <c r="B75">
        <v>30</v>
      </c>
      <c r="C75">
        <v>583.33333333333337</v>
      </c>
      <c r="D75">
        <v>833.33333333333337</v>
      </c>
      <c r="E75">
        <v>583.33333333333337</v>
      </c>
      <c r="F75">
        <f t="shared" si="4"/>
        <v>1416.6666666666667</v>
      </c>
      <c r="G75">
        <f t="shared" si="4"/>
        <v>1416.6666666666667</v>
      </c>
      <c r="H75">
        <v>2000</v>
      </c>
      <c r="I75">
        <v>0.58333333333333337</v>
      </c>
      <c r="J75">
        <v>0.83333333333333337</v>
      </c>
      <c r="K75">
        <v>0.58333333333333337</v>
      </c>
      <c r="L75">
        <f t="shared" si="5"/>
        <v>1.4166666666666667</v>
      </c>
      <c r="M75">
        <f t="shared" si="5"/>
        <v>1.4166666666666667</v>
      </c>
      <c r="N75">
        <v>2</v>
      </c>
      <c r="O75">
        <v>0</v>
      </c>
      <c r="P75">
        <v>52.8</v>
      </c>
      <c r="Q75">
        <v>42</v>
      </c>
      <c r="R75">
        <v>115.2</v>
      </c>
      <c r="S75">
        <v>1.3999999999999191</v>
      </c>
      <c r="T75">
        <v>5.879999999999967</v>
      </c>
      <c r="U75">
        <v>0.39866666666667799</v>
      </c>
      <c r="V75">
        <v>0.32133333333323311</v>
      </c>
      <c r="W75">
        <v>7.9999999999997584</v>
      </c>
      <c r="X75">
        <v>240</v>
      </c>
      <c r="Y75">
        <v>247.9999999999998</v>
      </c>
      <c r="Z75">
        <v>180</v>
      </c>
      <c r="AA75">
        <v>0</v>
      </c>
      <c r="AB75">
        <v>4.1599999999999353</v>
      </c>
      <c r="AC75">
        <v>0.79733333333335599</v>
      </c>
      <c r="AD75">
        <v>0.64266666666646621</v>
      </c>
      <c r="AE75">
        <v>2.7999999999998382</v>
      </c>
      <c r="AF75">
        <v>7.6</v>
      </c>
      <c r="AG75">
        <v>0</v>
      </c>
      <c r="AH75">
        <v>0</v>
      </c>
    </row>
    <row r="76" spans="1:34" x14ac:dyDescent="0.2">
      <c r="A76">
        <v>322</v>
      </c>
      <c r="B76">
        <v>27.5</v>
      </c>
      <c r="C76">
        <v>583.33333333333337</v>
      </c>
      <c r="D76">
        <v>833.33333333333337</v>
      </c>
      <c r="E76">
        <v>583.33333333333337</v>
      </c>
      <c r="F76">
        <f t="shared" si="4"/>
        <v>1416.6666666666667</v>
      </c>
      <c r="G76">
        <f t="shared" si="4"/>
        <v>1416.6666666666667</v>
      </c>
      <c r="H76">
        <v>2000</v>
      </c>
      <c r="I76">
        <v>0.63636363636363646</v>
      </c>
      <c r="J76">
        <v>0.90909090909090917</v>
      </c>
      <c r="K76">
        <v>0.63636363636363646</v>
      </c>
      <c r="L76">
        <f t="shared" si="5"/>
        <v>1.5454545454545456</v>
      </c>
      <c r="M76">
        <f t="shared" si="5"/>
        <v>1.5454545454545456</v>
      </c>
      <c r="N76">
        <v>2.1818181818181821</v>
      </c>
      <c r="O76">
        <v>0</v>
      </c>
      <c r="P76">
        <v>32.4</v>
      </c>
      <c r="Q76">
        <v>31.2</v>
      </c>
      <c r="R76">
        <v>99.6</v>
      </c>
      <c r="S76">
        <v>0.40294214876064671</v>
      </c>
      <c r="T76">
        <v>12.86251239669396</v>
      </c>
      <c r="U76">
        <v>2.8152396694214179</v>
      </c>
      <c r="V76">
        <v>5.7374876033058779</v>
      </c>
      <c r="W76">
        <v>21.818181818181809</v>
      </c>
      <c r="X76">
        <v>261.81818181818193</v>
      </c>
      <c r="Y76">
        <v>283.63636363636368</v>
      </c>
      <c r="Z76">
        <v>180</v>
      </c>
      <c r="AA76">
        <v>0</v>
      </c>
      <c r="AB76">
        <v>25.570909090908959</v>
      </c>
      <c r="AC76">
        <v>5.172297520661151</v>
      </c>
      <c r="AD76">
        <v>11.474975206611759</v>
      </c>
      <c r="AE76">
        <v>0.80588429752129342</v>
      </c>
      <c r="AF76">
        <v>0.15411570247896531</v>
      </c>
      <c r="AG76">
        <v>0.45818181818168441</v>
      </c>
      <c r="AH76">
        <v>0</v>
      </c>
    </row>
    <row r="77" spans="1:34" x14ac:dyDescent="0.2">
      <c r="A77">
        <v>322</v>
      </c>
      <c r="B77">
        <v>25</v>
      </c>
      <c r="C77">
        <v>583.33333333333337</v>
      </c>
      <c r="D77">
        <v>833.33333333333337</v>
      </c>
      <c r="E77">
        <v>583.33333333333337</v>
      </c>
      <c r="F77">
        <f t="shared" si="4"/>
        <v>1416.6666666666667</v>
      </c>
      <c r="G77">
        <f t="shared" si="4"/>
        <v>1416.6666666666667</v>
      </c>
      <c r="H77">
        <v>2000</v>
      </c>
      <c r="I77">
        <v>0.70000000000000007</v>
      </c>
      <c r="J77">
        <v>1</v>
      </c>
      <c r="K77">
        <v>0.70000000000000007</v>
      </c>
      <c r="L77">
        <f t="shared" si="5"/>
        <v>1.7</v>
      </c>
      <c r="M77">
        <f t="shared" si="5"/>
        <v>1.7</v>
      </c>
      <c r="N77">
        <v>2.4</v>
      </c>
      <c r="O77">
        <v>0</v>
      </c>
      <c r="P77">
        <v>31.2</v>
      </c>
      <c r="Q77">
        <v>14.4</v>
      </c>
      <c r="R77">
        <v>79.2</v>
      </c>
      <c r="S77">
        <v>1.4879999999994149</v>
      </c>
      <c r="T77">
        <v>16.992000000000029</v>
      </c>
      <c r="U77">
        <v>2.879999999999967</v>
      </c>
      <c r="V77">
        <v>14.63999999999978</v>
      </c>
      <c r="W77">
        <v>35.999999999999183</v>
      </c>
      <c r="X77">
        <v>288</v>
      </c>
      <c r="Y77">
        <v>323.9999999999992</v>
      </c>
      <c r="Z77">
        <v>180</v>
      </c>
      <c r="AA77">
        <v>0</v>
      </c>
      <c r="AB77">
        <v>32.639999999999993</v>
      </c>
      <c r="AC77">
        <v>2.879999999999967</v>
      </c>
      <c r="AD77">
        <v>29.279999999999561</v>
      </c>
      <c r="AE77">
        <v>2.9759999999988289</v>
      </c>
      <c r="AF77">
        <v>1.3440000000000709</v>
      </c>
      <c r="AG77">
        <v>2.879999999999967</v>
      </c>
      <c r="AH77">
        <v>0</v>
      </c>
    </row>
    <row r="78" spans="1:34" x14ac:dyDescent="0.2">
      <c r="A78">
        <v>322</v>
      </c>
      <c r="B78">
        <v>22.5</v>
      </c>
      <c r="C78">
        <v>583.33333333333337</v>
      </c>
      <c r="D78">
        <v>833.33333333333337</v>
      </c>
      <c r="E78">
        <v>583.33333333333337</v>
      </c>
      <c r="F78">
        <f t="shared" si="4"/>
        <v>1416.6666666666667</v>
      </c>
      <c r="G78">
        <f t="shared" si="4"/>
        <v>1416.6666666666667</v>
      </c>
      <c r="H78">
        <v>2000</v>
      </c>
      <c r="I78">
        <v>0.77777777777777779</v>
      </c>
      <c r="J78">
        <v>1.1111111111111109</v>
      </c>
      <c r="K78">
        <v>0.77777777777777779</v>
      </c>
      <c r="L78">
        <f t="shared" si="5"/>
        <v>1.8888888888888891</v>
      </c>
      <c r="M78">
        <f t="shared" si="5"/>
        <v>1.8888888888888891</v>
      </c>
      <c r="N78">
        <v>2.666666666666667</v>
      </c>
      <c r="O78">
        <v>0</v>
      </c>
      <c r="P78">
        <v>13.2</v>
      </c>
      <c r="Q78">
        <v>24</v>
      </c>
      <c r="R78">
        <v>1.2</v>
      </c>
      <c r="S78">
        <v>2.5970370370365141</v>
      </c>
      <c r="T78">
        <v>22.776296296296199</v>
      </c>
      <c r="U78">
        <v>13.96000000000002</v>
      </c>
      <c r="V78">
        <v>0.66666666666682839</v>
      </c>
      <c r="W78">
        <v>39.999999999999368</v>
      </c>
      <c r="X78">
        <v>320</v>
      </c>
      <c r="Y78">
        <v>359.99999999999937</v>
      </c>
      <c r="Z78">
        <v>180</v>
      </c>
      <c r="AA78">
        <v>0</v>
      </c>
      <c r="AB78">
        <v>39.866666666666433</v>
      </c>
      <c r="AC78">
        <v>0</v>
      </c>
      <c r="AD78">
        <v>1.333333333333657</v>
      </c>
      <c r="AE78">
        <v>5.1940740740730282</v>
      </c>
      <c r="AF78">
        <v>5.6859259259259689</v>
      </c>
      <c r="AG78">
        <v>27.92000000000003</v>
      </c>
      <c r="AH78">
        <v>0</v>
      </c>
    </row>
    <row r="79" spans="1:34" x14ac:dyDescent="0.2">
      <c r="A79">
        <v>322</v>
      </c>
      <c r="B79">
        <v>20</v>
      </c>
      <c r="C79">
        <v>583.33333333333337</v>
      </c>
      <c r="D79">
        <v>833.33333333333337</v>
      </c>
      <c r="E79">
        <v>583.33333333333337</v>
      </c>
      <c r="F79">
        <f t="shared" si="4"/>
        <v>1416.6666666666667</v>
      </c>
      <c r="G79">
        <f t="shared" si="4"/>
        <v>1416.6666666666667</v>
      </c>
      <c r="H79">
        <v>2000</v>
      </c>
      <c r="I79">
        <v>0.87500000000000011</v>
      </c>
      <c r="J79">
        <v>1.25</v>
      </c>
      <c r="K79">
        <v>0.87500000000000011</v>
      </c>
      <c r="L79">
        <f t="shared" si="5"/>
        <v>2.1250000000000004</v>
      </c>
      <c r="M79">
        <f t="shared" si="5"/>
        <v>2.1250000000000004</v>
      </c>
      <c r="N79">
        <v>3</v>
      </c>
      <c r="O79">
        <v>0</v>
      </c>
      <c r="P79">
        <v>105.6</v>
      </c>
      <c r="Q79">
        <v>88.8</v>
      </c>
      <c r="R79">
        <v>103.2</v>
      </c>
      <c r="S79">
        <v>8.820000000000114</v>
      </c>
      <c r="T79">
        <v>0.77999999999996761</v>
      </c>
      <c r="U79">
        <v>7.1399999999999837</v>
      </c>
      <c r="V79">
        <v>7.2599999999999349</v>
      </c>
      <c r="W79">
        <v>23.999999999999261</v>
      </c>
      <c r="X79">
        <v>360</v>
      </c>
      <c r="Y79">
        <v>383.99999999999932</v>
      </c>
      <c r="Z79">
        <v>180</v>
      </c>
      <c r="AA79">
        <v>0</v>
      </c>
      <c r="AB79">
        <v>0.6</v>
      </c>
      <c r="AC79">
        <v>13.680000000000129</v>
      </c>
      <c r="AD79">
        <v>14.51999999999987</v>
      </c>
      <c r="AE79">
        <v>17.640000000000231</v>
      </c>
      <c r="AF79">
        <v>0.95999999999993535</v>
      </c>
      <c r="AG79">
        <v>0.59999999999983833</v>
      </c>
      <c r="AH79">
        <v>0</v>
      </c>
    </row>
    <row r="80" spans="1:34" x14ac:dyDescent="0.2">
      <c r="A80">
        <v>323</v>
      </c>
      <c r="B80">
        <v>50</v>
      </c>
      <c r="C80">
        <v>750</v>
      </c>
      <c r="D80">
        <v>833.33333333333337</v>
      </c>
      <c r="E80">
        <v>750</v>
      </c>
      <c r="F80">
        <f t="shared" si="4"/>
        <v>1583.3333333333335</v>
      </c>
      <c r="G80">
        <f t="shared" si="4"/>
        <v>1583.3333333333335</v>
      </c>
      <c r="H80">
        <v>2333.333333333333</v>
      </c>
      <c r="I80">
        <v>0.45</v>
      </c>
      <c r="J80">
        <v>0.5</v>
      </c>
      <c r="K80">
        <v>0.45</v>
      </c>
      <c r="L80">
        <f t="shared" si="5"/>
        <v>0.95000000000000007</v>
      </c>
      <c r="M80">
        <f t="shared" si="5"/>
        <v>0.95000000000000007</v>
      </c>
      <c r="N80">
        <v>1.4</v>
      </c>
      <c r="O80">
        <v>0</v>
      </c>
      <c r="P80">
        <v>66</v>
      </c>
      <c r="Q80">
        <v>1.2</v>
      </c>
      <c r="R80">
        <v>64.8</v>
      </c>
      <c r="S80">
        <v>0</v>
      </c>
      <c r="T80">
        <v>8.4</v>
      </c>
      <c r="U80">
        <v>1.19999999999996</v>
      </c>
      <c r="V80">
        <v>2.4</v>
      </c>
      <c r="W80">
        <v>11.999999999999799</v>
      </c>
      <c r="X80">
        <v>168</v>
      </c>
      <c r="Y80">
        <v>179.9999999999998</v>
      </c>
      <c r="Z80">
        <v>180</v>
      </c>
      <c r="AA80">
        <v>0</v>
      </c>
      <c r="AB80">
        <v>12</v>
      </c>
      <c r="AC80">
        <v>0</v>
      </c>
      <c r="AD80">
        <v>4.8</v>
      </c>
      <c r="AE80">
        <v>0</v>
      </c>
      <c r="AF80">
        <v>4.8</v>
      </c>
      <c r="AG80">
        <v>2.3999999999999191</v>
      </c>
      <c r="AH80">
        <v>0</v>
      </c>
    </row>
    <row r="81" spans="1:34" x14ac:dyDescent="0.2">
      <c r="A81">
        <v>323</v>
      </c>
      <c r="B81">
        <v>47.5</v>
      </c>
      <c r="C81">
        <v>750</v>
      </c>
      <c r="D81">
        <v>833.33333333333337</v>
      </c>
      <c r="E81">
        <v>750</v>
      </c>
      <c r="F81">
        <f t="shared" si="4"/>
        <v>1583.3333333333335</v>
      </c>
      <c r="G81">
        <f t="shared" si="4"/>
        <v>1583.3333333333335</v>
      </c>
      <c r="H81">
        <v>2333.333333333333</v>
      </c>
      <c r="I81">
        <v>0.47368421052631582</v>
      </c>
      <c r="J81">
        <v>0.52631578947368429</v>
      </c>
      <c r="K81">
        <v>0.47368421052631582</v>
      </c>
      <c r="L81">
        <f t="shared" si="5"/>
        <v>1.0000000000000002</v>
      </c>
      <c r="M81">
        <f t="shared" si="5"/>
        <v>1.0000000000000002</v>
      </c>
      <c r="N81">
        <v>1.4736842105263159</v>
      </c>
      <c r="O81">
        <v>0</v>
      </c>
      <c r="P81">
        <v>58.8</v>
      </c>
      <c r="Q81">
        <v>0</v>
      </c>
      <c r="R81">
        <v>58.8</v>
      </c>
      <c r="S81">
        <v>0</v>
      </c>
      <c r="T81">
        <v>0.97894736842103558</v>
      </c>
      <c r="U81">
        <v>2.1789473684211158</v>
      </c>
      <c r="V81">
        <v>-2.4253192047278091E-13</v>
      </c>
      <c r="W81">
        <v>3.1578947368417829</v>
      </c>
      <c r="X81">
        <v>176.84210526315789</v>
      </c>
      <c r="Y81">
        <v>179.99999999999969</v>
      </c>
      <c r="Z81">
        <v>180</v>
      </c>
      <c r="AA81">
        <v>0</v>
      </c>
      <c r="AB81">
        <v>1.9578947368420709</v>
      </c>
      <c r="AC81">
        <v>0</v>
      </c>
      <c r="AD81">
        <v>-4.8506384094556172E-13</v>
      </c>
      <c r="AE81">
        <v>0</v>
      </c>
      <c r="AF81">
        <v>0</v>
      </c>
      <c r="AG81">
        <v>4.3578947368422316</v>
      </c>
      <c r="AH81">
        <v>0</v>
      </c>
    </row>
    <row r="82" spans="1:34" x14ac:dyDescent="0.2">
      <c r="A82">
        <v>323</v>
      </c>
      <c r="B82">
        <v>45</v>
      </c>
      <c r="C82">
        <v>750</v>
      </c>
      <c r="D82">
        <v>833.33333333333337</v>
      </c>
      <c r="E82">
        <v>750</v>
      </c>
      <c r="F82">
        <f t="shared" si="4"/>
        <v>1583.3333333333335</v>
      </c>
      <c r="G82">
        <f t="shared" si="4"/>
        <v>1583.3333333333335</v>
      </c>
      <c r="H82">
        <v>2333.333333333333</v>
      </c>
      <c r="I82">
        <v>0.5</v>
      </c>
      <c r="J82">
        <v>0.55555555555555558</v>
      </c>
      <c r="K82">
        <v>0.5</v>
      </c>
      <c r="L82">
        <f t="shared" si="5"/>
        <v>1.0555555555555556</v>
      </c>
      <c r="M82">
        <f t="shared" si="5"/>
        <v>1.0555555555555556</v>
      </c>
      <c r="N82">
        <v>1.555555555555556</v>
      </c>
      <c r="O82">
        <v>0</v>
      </c>
      <c r="P82">
        <v>48</v>
      </c>
      <c r="Q82">
        <v>0</v>
      </c>
      <c r="R82">
        <v>60</v>
      </c>
      <c r="S82">
        <v>0.66666666666658581</v>
      </c>
      <c r="T82">
        <v>2.6666666666665861</v>
      </c>
      <c r="U82">
        <v>0</v>
      </c>
      <c r="V82">
        <v>3.3333333333333739</v>
      </c>
      <c r="W82">
        <v>6.6666666666664014</v>
      </c>
      <c r="X82">
        <v>186.66666666666671</v>
      </c>
      <c r="Y82">
        <v>193.33333333333309</v>
      </c>
      <c r="Z82">
        <v>180</v>
      </c>
      <c r="AA82">
        <v>0</v>
      </c>
      <c r="AB82">
        <v>0</v>
      </c>
      <c r="AC82">
        <v>0</v>
      </c>
      <c r="AD82">
        <v>6.6666666666667478</v>
      </c>
      <c r="AE82">
        <v>1.3333333333331721</v>
      </c>
      <c r="AF82">
        <v>5.3333333333331714</v>
      </c>
      <c r="AG82">
        <v>0</v>
      </c>
      <c r="AH82">
        <v>0</v>
      </c>
    </row>
    <row r="83" spans="1:34" x14ac:dyDescent="0.2">
      <c r="A83">
        <v>323</v>
      </c>
      <c r="B83">
        <v>42.5</v>
      </c>
      <c r="C83">
        <v>750</v>
      </c>
      <c r="D83">
        <v>833.33333333333337</v>
      </c>
      <c r="E83">
        <v>750</v>
      </c>
      <c r="F83">
        <f t="shared" si="4"/>
        <v>1583.3333333333335</v>
      </c>
      <c r="G83">
        <f t="shared" si="4"/>
        <v>1583.3333333333335</v>
      </c>
      <c r="H83">
        <v>2333.333333333333</v>
      </c>
      <c r="I83">
        <v>0.52941176470588236</v>
      </c>
      <c r="J83">
        <v>0.58823529411764708</v>
      </c>
      <c r="K83">
        <v>0.52941176470588236</v>
      </c>
      <c r="L83">
        <f t="shared" si="5"/>
        <v>1.1176470588235294</v>
      </c>
      <c r="M83">
        <f t="shared" si="5"/>
        <v>1.1176470588235294</v>
      </c>
      <c r="N83">
        <v>1.6470588235294119</v>
      </c>
      <c r="O83">
        <v>0</v>
      </c>
      <c r="P83">
        <v>45.6</v>
      </c>
      <c r="Q83">
        <v>0</v>
      </c>
      <c r="R83">
        <v>58.8</v>
      </c>
      <c r="S83">
        <v>2.0964705882350652</v>
      </c>
      <c r="T83">
        <v>8.498823529411796</v>
      </c>
      <c r="U83">
        <v>0.18834602076122889</v>
      </c>
      <c r="V83">
        <v>6.8634186851212382</v>
      </c>
      <c r="W83">
        <v>17.647058823529161</v>
      </c>
      <c r="X83">
        <v>197.64705882352939</v>
      </c>
      <c r="Y83">
        <v>215.29411764705861</v>
      </c>
      <c r="Z83">
        <v>180</v>
      </c>
      <c r="AA83">
        <v>0</v>
      </c>
      <c r="AB83">
        <v>4.7435294117647571</v>
      </c>
      <c r="AC83">
        <v>0.37669204152245778</v>
      </c>
      <c r="AD83">
        <v>13.72683737024248</v>
      </c>
      <c r="AE83">
        <v>4.1929411764701294</v>
      </c>
      <c r="AF83">
        <v>12.254117647058839</v>
      </c>
      <c r="AG83">
        <v>0</v>
      </c>
      <c r="AH83">
        <v>0</v>
      </c>
    </row>
    <row r="84" spans="1:34" x14ac:dyDescent="0.2">
      <c r="A84">
        <v>323</v>
      </c>
      <c r="B84">
        <v>40</v>
      </c>
      <c r="C84">
        <v>750</v>
      </c>
      <c r="D84">
        <v>833.33333333333337</v>
      </c>
      <c r="E84">
        <v>750</v>
      </c>
      <c r="F84">
        <f t="shared" si="4"/>
        <v>1583.3333333333335</v>
      </c>
      <c r="G84">
        <f t="shared" si="4"/>
        <v>1583.3333333333335</v>
      </c>
      <c r="H84">
        <v>2333.333333333333</v>
      </c>
      <c r="I84">
        <v>0.5625</v>
      </c>
      <c r="J84">
        <v>0.62500000000000011</v>
      </c>
      <c r="K84">
        <v>0.5625</v>
      </c>
      <c r="L84">
        <f t="shared" si="5"/>
        <v>1.1875000000000002</v>
      </c>
      <c r="M84">
        <f t="shared" si="5"/>
        <v>1.1875000000000002</v>
      </c>
      <c r="N84">
        <v>1.75</v>
      </c>
      <c r="O84">
        <v>0</v>
      </c>
      <c r="P84">
        <v>55.2</v>
      </c>
      <c r="Q84">
        <v>0</v>
      </c>
      <c r="R84">
        <v>88.8</v>
      </c>
      <c r="S84">
        <v>11.760000000000019</v>
      </c>
      <c r="T84">
        <v>14.06999999999983</v>
      </c>
      <c r="U84">
        <v>3.689999999999984</v>
      </c>
      <c r="V84">
        <v>0.4800000000000485</v>
      </c>
      <c r="W84">
        <v>29.999999999999801</v>
      </c>
      <c r="X84">
        <v>210</v>
      </c>
      <c r="Y84">
        <v>239.9999999999998</v>
      </c>
      <c r="Z84">
        <v>180</v>
      </c>
      <c r="AA84">
        <v>0</v>
      </c>
      <c r="AB84">
        <v>0.23999999999982211</v>
      </c>
      <c r="AC84">
        <v>0</v>
      </c>
      <c r="AD84">
        <v>0.960000000000097</v>
      </c>
      <c r="AE84">
        <v>23.520000000000032</v>
      </c>
      <c r="AF84">
        <v>27.899999999999839</v>
      </c>
      <c r="AG84">
        <v>7.3799999999999679</v>
      </c>
      <c r="AH84">
        <v>0</v>
      </c>
    </row>
    <row r="85" spans="1:34" x14ac:dyDescent="0.2">
      <c r="A85">
        <v>323</v>
      </c>
      <c r="B85">
        <v>37.5</v>
      </c>
      <c r="C85">
        <v>750</v>
      </c>
      <c r="D85">
        <v>833.33333333333337</v>
      </c>
      <c r="E85">
        <v>750</v>
      </c>
      <c r="F85">
        <f t="shared" si="4"/>
        <v>1583.3333333333335</v>
      </c>
      <c r="G85">
        <f t="shared" si="4"/>
        <v>1583.3333333333335</v>
      </c>
      <c r="H85">
        <v>2333.333333333333</v>
      </c>
      <c r="I85">
        <v>0.6</v>
      </c>
      <c r="J85">
        <v>0.66666666666666674</v>
      </c>
      <c r="K85">
        <v>0.6</v>
      </c>
      <c r="L85">
        <f t="shared" si="5"/>
        <v>1.2666666666666668</v>
      </c>
      <c r="M85">
        <f t="shared" si="5"/>
        <v>1.2666666666666668</v>
      </c>
      <c r="N85">
        <v>1.8666666666666669</v>
      </c>
      <c r="O85">
        <v>0</v>
      </c>
      <c r="P85">
        <v>52.8</v>
      </c>
      <c r="Q85">
        <v>21.6</v>
      </c>
      <c r="R85">
        <v>100.8</v>
      </c>
      <c r="S85">
        <v>2.3999999999998378</v>
      </c>
      <c r="T85">
        <v>20.72000000000007</v>
      </c>
      <c r="U85">
        <v>2.6879999999999402</v>
      </c>
      <c r="V85">
        <v>2.1919999999995019</v>
      </c>
      <c r="W85">
        <v>27.999999999999471</v>
      </c>
      <c r="X85">
        <v>224</v>
      </c>
      <c r="Y85">
        <v>251.99999999999949</v>
      </c>
      <c r="Z85">
        <v>180</v>
      </c>
      <c r="AA85">
        <v>0</v>
      </c>
      <c r="AB85">
        <v>5.7599999999999349</v>
      </c>
      <c r="AC85">
        <v>1.05600000000001</v>
      </c>
      <c r="AD85">
        <v>4.3839999999990038</v>
      </c>
      <c r="AE85">
        <v>4.7999999999996774</v>
      </c>
      <c r="AF85">
        <v>35.680000000000213</v>
      </c>
      <c r="AG85">
        <v>4.3199999999998706</v>
      </c>
      <c r="AH85">
        <v>0</v>
      </c>
    </row>
    <row r="86" spans="1:34" x14ac:dyDescent="0.2">
      <c r="A86">
        <v>323</v>
      </c>
      <c r="B86">
        <v>35</v>
      </c>
      <c r="C86">
        <v>750</v>
      </c>
      <c r="D86">
        <v>833.33333333333337</v>
      </c>
      <c r="E86">
        <v>750</v>
      </c>
      <c r="F86">
        <f t="shared" si="4"/>
        <v>1583.3333333333335</v>
      </c>
      <c r="G86">
        <f t="shared" si="4"/>
        <v>1583.3333333333335</v>
      </c>
      <c r="H86">
        <v>2333.333333333333</v>
      </c>
      <c r="I86">
        <v>0.64285714285714279</v>
      </c>
      <c r="J86">
        <v>0.7142857142857143</v>
      </c>
      <c r="K86">
        <v>0.64285714285714279</v>
      </c>
      <c r="L86">
        <f t="shared" si="5"/>
        <v>1.3571428571428572</v>
      </c>
      <c r="M86">
        <f t="shared" si="5"/>
        <v>1.3571428571428572</v>
      </c>
      <c r="N86">
        <v>2</v>
      </c>
      <c r="O86">
        <v>0</v>
      </c>
      <c r="P86">
        <v>62.4</v>
      </c>
      <c r="Q86">
        <v>33.6</v>
      </c>
      <c r="R86">
        <v>116.4</v>
      </c>
      <c r="S86">
        <v>8.2628571428565518</v>
      </c>
      <c r="T86">
        <v>10.25142857142859</v>
      </c>
      <c r="U86">
        <v>4.9082448979587854</v>
      </c>
      <c r="V86">
        <v>0.57746938775514234</v>
      </c>
      <c r="W86">
        <v>23.999999999999289</v>
      </c>
      <c r="X86">
        <v>240.00000000000011</v>
      </c>
      <c r="Y86">
        <v>263.99999999999932</v>
      </c>
      <c r="Z86">
        <v>180</v>
      </c>
      <c r="AA86">
        <v>0</v>
      </c>
      <c r="AB86">
        <v>2.194285714285555</v>
      </c>
      <c r="AC86">
        <v>0.25077551020359451</v>
      </c>
      <c r="AD86">
        <v>1.1549387755102849</v>
      </c>
      <c r="AE86">
        <v>16.5257142857131</v>
      </c>
      <c r="AF86">
        <v>18.308571428571629</v>
      </c>
      <c r="AG86">
        <v>9.5657142857139768</v>
      </c>
      <c r="AH86">
        <v>0</v>
      </c>
    </row>
    <row r="87" spans="1:34" x14ac:dyDescent="0.2">
      <c r="A87">
        <v>323</v>
      </c>
      <c r="B87">
        <v>32.5</v>
      </c>
      <c r="C87">
        <v>750</v>
      </c>
      <c r="D87">
        <v>833.33333333333337</v>
      </c>
      <c r="E87">
        <v>750</v>
      </c>
      <c r="F87">
        <f t="shared" si="4"/>
        <v>1583.3333333333335</v>
      </c>
      <c r="G87">
        <f t="shared" si="4"/>
        <v>1583.3333333333335</v>
      </c>
      <c r="H87">
        <v>2333.333333333333</v>
      </c>
      <c r="I87">
        <v>0.6923076923076924</v>
      </c>
      <c r="J87">
        <v>0.76923076923076927</v>
      </c>
      <c r="K87">
        <v>0.6923076923076924</v>
      </c>
      <c r="L87">
        <f t="shared" si="5"/>
        <v>1.4615384615384617</v>
      </c>
      <c r="M87">
        <f t="shared" si="5"/>
        <v>1.4615384615384617</v>
      </c>
      <c r="N87">
        <v>2.1538461538461542</v>
      </c>
      <c r="O87">
        <v>0</v>
      </c>
      <c r="P87">
        <v>40.799999999999997</v>
      </c>
      <c r="Q87">
        <v>25.2</v>
      </c>
      <c r="R87">
        <v>86.399999999999991</v>
      </c>
      <c r="S87">
        <v>1.9384615384612209</v>
      </c>
      <c r="T87">
        <v>21.81230769230768</v>
      </c>
      <c r="U87">
        <v>3.1569230769230159</v>
      </c>
      <c r="V87">
        <v>10.93846153846154</v>
      </c>
      <c r="W87">
        <v>37.846153846153193</v>
      </c>
      <c r="X87">
        <v>258.46153846153851</v>
      </c>
      <c r="Y87">
        <v>296.3076923076917</v>
      </c>
      <c r="Z87">
        <v>180</v>
      </c>
      <c r="AA87">
        <v>0</v>
      </c>
      <c r="AB87">
        <v>24.221538461538469</v>
      </c>
      <c r="AC87">
        <v>6.1476923076922603</v>
      </c>
      <c r="AD87">
        <v>21.876923076923092</v>
      </c>
      <c r="AE87">
        <v>3.8769230769224432</v>
      </c>
      <c r="AF87">
        <v>19.403076923076881</v>
      </c>
      <c r="AG87">
        <v>0.16615384615377279</v>
      </c>
      <c r="AH87">
        <v>0</v>
      </c>
    </row>
    <row r="88" spans="1:34" x14ac:dyDescent="0.2">
      <c r="A88">
        <v>323</v>
      </c>
      <c r="B88">
        <v>30</v>
      </c>
      <c r="C88">
        <v>750</v>
      </c>
      <c r="D88">
        <v>833.33333333333337</v>
      </c>
      <c r="E88">
        <v>750</v>
      </c>
      <c r="F88">
        <f t="shared" si="4"/>
        <v>1583.3333333333335</v>
      </c>
      <c r="G88">
        <f t="shared" si="4"/>
        <v>1583.3333333333335</v>
      </c>
      <c r="H88">
        <v>2333.333333333333</v>
      </c>
      <c r="I88">
        <v>0.75</v>
      </c>
      <c r="J88">
        <v>0.83333333333333337</v>
      </c>
      <c r="K88">
        <v>0.75</v>
      </c>
      <c r="L88">
        <f t="shared" si="5"/>
        <v>1.5833333333333335</v>
      </c>
      <c r="M88">
        <f t="shared" si="5"/>
        <v>1.5833333333333335</v>
      </c>
      <c r="N88">
        <v>2.333333333333333</v>
      </c>
      <c r="O88">
        <v>0</v>
      </c>
      <c r="P88">
        <v>70.8</v>
      </c>
      <c r="Q88">
        <v>73.2</v>
      </c>
      <c r="R88">
        <v>26.4</v>
      </c>
      <c r="S88">
        <v>18.223999999999471</v>
      </c>
      <c r="T88">
        <v>5.6959999999999544</v>
      </c>
      <c r="U88">
        <v>11.680000000000049</v>
      </c>
      <c r="V88">
        <v>8.4</v>
      </c>
      <c r="W88">
        <v>43.999999999999261</v>
      </c>
      <c r="X88">
        <v>280</v>
      </c>
      <c r="Y88">
        <v>323.99999999999932</v>
      </c>
      <c r="Z88">
        <v>180</v>
      </c>
      <c r="AA88">
        <v>0</v>
      </c>
      <c r="AB88">
        <v>5.7599999999999349</v>
      </c>
      <c r="AC88">
        <v>11.84000000000006</v>
      </c>
      <c r="AD88">
        <v>16.8</v>
      </c>
      <c r="AE88">
        <v>36.447999999998949</v>
      </c>
      <c r="AF88">
        <v>5.6319999999999713</v>
      </c>
      <c r="AG88">
        <v>11.52000000000003</v>
      </c>
      <c r="AH88">
        <v>0</v>
      </c>
    </row>
    <row r="89" spans="1:34" x14ac:dyDescent="0.2">
      <c r="A89">
        <v>323</v>
      </c>
      <c r="B89">
        <v>27.5</v>
      </c>
      <c r="C89">
        <v>750</v>
      </c>
      <c r="D89">
        <v>833.33333333333337</v>
      </c>
      <c r="E89">
        <v>750</v>
      </c>
      <c r="F89">
        <f t="shared" si="4"/>
        <v>1583.3333333333335</v>
      </c>
      <c r="G89">
        <f t="shared" si="4"/>
        <v>1583.3333333333335</v>
      </c>
      <c r="H89">
        <v>2333.333333333333</v>
      </c>
      <c r="I89">
        <v>0.81818181818181823</v>
      </c>
      <c r="J89">
        <v>0.90909090909090917</v>
      </c>
      <c r="K89">
        <v>0.81818181818181823</v>
      </c>
      <c r="L89">
        <f t="shared" si="5"/>
        <v>1.7272727272727275</v>
      </c>
      <c r="M89">
        <f t="shared" si="5"/>
        <v>1.7272727272727275</v>
      </c>
      <c r="N89">
        <v>2.5454545454545459</v>
      </c>
      <c r="O89">
        <v>0</v>
      </c>
      <c r="P89">
        <v>4.8</v>
      </c>
      <c r="Q89">
        <v>2.4</v>
      </c>
      <c r="R89">
        <v>92.399999999999991</v>
      </c>
      <c r="S89">
        <v>7.0998347107436626</v>
      </c>
      <c r="T89">
        <v>18.209256198347148</v>
      </c>
      <c r="U89">
        <v>17.509090909090851</v>
      </c>
      <c r="V89">
        <v>4.0909090909088262</v>
      </c>
      <c r="W89">
        <v>46.909090909090047</v>
      </c>
      <c r="X89">
        <v>305.4545454545455</v>
      </c>
      <c r="Y89">
        <v>352.36363636363558</v>
      </c>
      <c r="Z89">
        <v>180</v>
      </c>
      <c r="AA89">
        <v>0</v>
      </c>
      <c r="AB89">
        <v>26.61818181818186</v>
      </c>
      <c r="AC89">
        <v>8.5090909090910127</v>
      </c>
      <c r="AD89">
        <v>8.1818181818176523</v>
      </c>
      <c r="AE89">
        <v>14.19966942148733</v>
      </c>
      <c r="AF89">
        <v>9.8003305785124315</v>
      </c>
      <c r="AG89">
        <v>26.509090909090691</v>
      </c>
      <c r="AH89">
        <v>0</v>
      </c>
    </row>
    <row r="90" spans="1:34" x14ac:dyDescent="0.2">
      <c r="A90">
        <v>323</v>
      </c>
      <c r="B90">
        <v>25</v>
      </c>
      <c r="C90">
        <v>750</v>
      </c>
      <c r="D90">
        <v>833.33333333333337</v>
      </c>
      <c r="E90">
        <v>750</v>
      </c>
      <c r="F90">
        <f t="shared" si="4"/>
        <v>1583.3333333333335</v>
      </c>
      <c r="G90">
        <f t="shared" si="4"/>
        <v>1583.3333333333335</v>
      </c>
      <c r="H90">
        <v>2333.333333333333</v>
      </c>
      <c r="I90">
        <v>0.89999999999999991</v>
      </c>
      <c r="J90">
        <v>1</v>
      </c>
      <c r="K90">
        <v>0.89999999999999991</v>
      </c>
      <c r="L90">
        <f t="shared" si="5"/>
        <v>1.9000000000000001</v>
      </c>
      <c r="M90">
        <f t="shared" si="5"/>
        <v>1.9000000000000001</v>
      </c>
      <c r="N90">
        <v>2.8</v>
      </c>
      <c r="O90">
        <v>0</v>
      </c>
      <c r="P90">
        <v>4.8</v>
      </c>
      <c r="Q90">
        <v>8.4</v>
      </c>
      <c r="R90">
        <v>116.4</v>
      </c>
      <c r="S90">
        <v>1.8</v>
      </c>
      <c r="T90">
        <v>8.3999999999999186</v>
      </c>
      <c r="U90">
        <v>13.799999999999921</v>
      </c>
      <c r="V90">
        <v>0</v>
      </c>
      <c r="W90">
        <v>23.999999999999769</v>
      </c>
      <c r="X90">
        <v>336</v>
      </c>
      <c r="Y90">
        <v>359.99999999999977</v>
      </c>
      <c r="Z90">
        <v>180</v>
      </c>
      <c r="AA90">
        <v>0</v>
      </c>
      <c r="AB90">
        <v>16.799999999999841</v>
      </c>
      <c r="AC90">
        <v>3.599999999999838</v>
      </c>
      <c r="AD90">
        <v>0</v>
      </c>
      <c r="AE90">
        <v>3.6</v>
      </c>
      <c r="AF90">
        <v>0</v>
      </c>
      <c r="AG90">
        <v>24</v>
      </c>
      <c r="AH90">
        <v>0</v>
      </c>
    </row>
    <row r="91" spans="1:34" x14ac:dyDescent="0.2">
      <c r="A91">
        <v>323</v>
      </c>
      <c r="B91">
        <v>22.5</v>
      </c>
      <c r="C91">
        <v>750</v>
      </c>
      <c r="D91">
        <v>833.33333333333337</v>
      </c>
      <c r="E91">
        <v>750</v>
      </c>
      <c r="F91">
        <f t="shared" si="4"/>
        <v>1583.3333333333335</v>
      </c>
      <c r="G91">
        <f t="shared" si="4"/>
        <v>1583.3333333333335</v>
      </c>
      <c r="H91">
        <v>2333.333333333333</v>
      </c>
      <c r="I91">
        <v>1</v>
      </c>
      <c r="J91">
        <v>1.1111111111111109</v>
      </c>
      <c r="K91">
        <v>1</v>
      </c>
      <c r="L91">
        <f t="shared" si="5"/>
        <v>2.1111111111111112</v>
      </c>
      <c r="M91">
        <f t="shared" si="5"/>
        <v>2.1111111111111112</v>
      </c>
      <c r="N91">
        <v>3.1111111111111112</v>
      </c>
      <c r="O91">
        <v>0</v>
      </c>
      <c r="P91">
        <v>110.4</v>
      </c>
      <c r="Q91">
        <v>92.399999999999991</v>
      </c>
      <c r="R91">
        <v>116.4</v>
      </c>
      <c r="S91">
        <v>1.933333333332929</v>
      </c>
      <c r="T91">
        <v>2.9333333333333331</v>
      </c>
      <c r="U91">
        <v>5.0800000000000889</v>
      </c>
      <c r="V91">
        <v>3.3866666666666991</v>
      </c>
      <c r="W91">
        <v>13.33333333333263</v>
      </c>
      <c r="X91">
        <v>373.33333333333343</v>
      </c>
      <c r="Y91">
        <v>386.666666666666</v>
      </c>
      <c r="Z91">
        <v>180</v>
      </c>
      <c r="AA91">
        <v>0</v>
      </c>
      <c r="AB91">
        <v>0</v>
      </c>
      <c r="AC91">
        <v>10.16000000000018</v>
      </c>
      <c r="AD91">
        <v>6.7733333333333983</v>
      </c>
      <c r="AE91">
        <v>3.866666666665858</v>
      </c>
      <c r="AF91">
        <v>5.8666666666666663</v>
      </c>
      <c r="AG91">
        <v>0</v>
      </c>
      <c r="AH91">
        <v>0</v>
      </c>
    </row>
    <row r="92" spans="1:34" x14ac:dyDescent="0.2">
      <c r="A92">
        <v>323</v>
      </c>
      <c r="B92">
        <v>20</v>
      </c>
      <c r="C92">
        <v>750</v>
      </c>
      <c r="D92">
        <v>833.33333333333337</v>
      </c>
      <c r="E92">
        <v>750</v>
      </c>
      <c r="F92">
        <f t="shared" si="4"/>
        <v>1583.3333333333335</v>
      </c>
      <c r="G92">
        <f t="shared" si="4"/>
        <v>1583.3333333333335</v>
      </c>
      <c r="H92">
        <v>2333.333333333333</v>
      </c>
      <c r="I92">
        <v>1.125</v>
      </c>
      <c r="J92">
        <v>1.25</v>
      </c>
      <c r="K92">
        <v>1.125</v>
      </c>
      <c r="L92">
        <f t="shared" si="5"/>
        <v>2.3750000000000004</v>
      </c>
      <c r="M92">
        <f t="shared" si="5"/>
        <v>2.3750000000000004</v>
      </c>
      <c r="N92">
        <v>3.5</v>
      </c>
      <c r="O92">
        <v>0</v>
      </c>
      <c r="P92">
        <v>110.4</v>
      </c>
      <c r="Q92">
        <v>57.599999999999987</v>
      </c>
      <c r="R92">
        <v>68.399999999999991</v>
      </c>
      <c r="S92">
        <v>3.3180000000000289</v>
      </c>
      <c r="T92">
        <v>5.3820000000000521</v>
      </c>
      <c r="U92">
        <v>13.4399999999999</v>
      </c>
      <c r="V92">
        <v>1.859999999999693</v>
      </c>
      <c r="W92">
        <v>23.999999999998611</v>
      </c>
      <c r="X92">
        <v>420</v>
      </c>
      <c r="Y92">
        <v>443.99999999999858</v>
      </c>
      <c r="Z92">
        <v>180</v>
      </c>
      <c r="AA92">
        <v>0</v>
      </c>
      <c r="AB92">
        <v>10.07999999999997</v>
      </c>
      <c r="AC92">
        <v>25.799999999999919</v>
      </c>
      <c r="AD92">
        <v>3.719999999999386</v>
      </c>
      <c r="AE92">
        <v>6.6360000000000579</v>
      </c>
      <c r="AF92">
        <v>0.68400000000013583</v>
      </c>
      <c r="AG92">
        <v>1.0799999999998871</v>
      </c>
      <c r="AH92">
        <v>0</v>
      </c>
    </row>
    <row r="93" spans="1:34" x14ac:dyDescent="0.2">
      <c r="A93">
        <v>324</v>
      </c>
      <c r="B93">
        <v>50</v>
      </c>
      <c r="C93">
        <v>416.66666666666669</v>
      </c>
      <c r="D93">
        <v>833.33333333333337</v>
      </c>
      <c r="E93">
        <v>416.66666666666669</v>
      </c>
      <c r="F93">
        <f t="shared" si="4"/>
        <v>1250</v>
      </c>
      <c r="G93">
        <f t="shared" si="4"/>
        <v>1250</v>
      </c>
      <c r="H93">
        <v>1666.666666666667</v>
      </c>
      <c r="I93">
        <v>0.25</v>
      </c>
      <c r="J93">
        <v>0.5</v>
      </c>
      <c r="K93">
        <v>0.25</v>
      </c>
      <c r="L93">
        <f t="shared" si="5"/>
        <v>0.75</v>
      </c>
      <c r="M93">
        <f t="shared" si="5"/>
        <v>0.75</v>
      </c>
      <c r="N93">
        <v>1</v>
      </c>
      <c r="O93">
        <v>0</v>
      </c>
      <c r="P93">
        <v>16.8</v>
      </c>
      <c r="Q93">
        <v>87.6</v>
      </c>
      <c r="R93">
        <v>118.8</v>
      </c>
      <c r="S93">
        <v>23.39999999999992</v>
      </c>
      <c r="T93">
        <v>13.32000000000011</v>
      </c>
      <c r="U93">
        <v>11.26799999999999</v>
      </c>
      <c r="V93">
        <v>1.199999999961518E-2</v>
      </c>
      <c r="W93">
        <v>47.999999999999517</v>
      </c>
      <c r="X93">
        <v>120</v>
      </c>
      <c r="Y93">
        <v>167.99999999999949</v>
      </c>
      <c r="Z93">
        <v>180</v>
      </c>
      <c r="AA93">
        <v>0</v>
      </c>
      <c r="AB93">
        <v>0.960000000000097</v>
      </c>
      <c r="AC93">
        <v>0.21600000000002589</v>
      </c>
      <c r="AD93">
        <v>2.399999999923037E-2</v>
      </c>
      <c r="AE93">
        <v>46.799999999999841</v>
      </c>
      <c r="AF93">
        <v>25.680000000000131</v>
      </c>
      <c r="AG93">
        <v>22.319999999999951</v>
      </c>
      <c r="AH93">
        <v>0</v>
      </c>
    </row>
    <row r="94" spans="1:34" x14ac:dyDescent="0.2">
      <c r="A94">
        <v>324</v>
      </c>
      <c r="B94">
        <v>47.5</v>
      </c>
      <c r="C94">
        <v>416.66666666666669</v>
      </c>
      <c r="D94">
        <v>833.33333333333337</v>
      </c>
      <c r="E94">
        <v>416.66666666666669</v>
      </c>
      <c r="F94">
        <f t="shared" si="4"/>
        <v>1250</v>
      </c>
      <c r="G94">
        <f t="shared" si="4"/>
        <v>1250</v>
      </c>
      <c r="H94">
        <v>1666.666666666667</v>
      </c>
      <c r="I94">
        <v>0.26315789473684209</v>
      </c>
      <c r="J94">
        <v>0.52631578947368429</v>
      </c>
      <c r="K94">
        <v>0.26315789473684209</v>
      </c>
      <c r="L94">
        <f t="shared" si="5"/>
        <v>0.78947368421052633</v>
      </c>
      <c r="M94">
        <f t="shared" si="5"/>
        <v>0.78947368421052633</v>
      </c>
      <c r="N94">
        <v>1.052631578947369</v>
      </c>
      <c r="O94">
        <v>0</v>
      </c>
      <c r="P94">
        <v>8.4</v>
      </c>
      <c r="Q94">
        <v>86.399999999999991</v>
      </c>
      <c r="R94">
        <v>118.8</v>
      </c>
      <c r="S94">
        <v>19.6107257617724</v>
      </c>
      <c r="T94">
        <v>10.288221606648261</v>
      </c>
      <c r="U94">
        <v>14.532631578947459</v>
      </c>
      <c r="V94">
        <v>0.41052631578944182</v>
      </c>
      <c r="W94">
        <v>44.842105263157208</v>
      </c>
      <c r="X94">
        <v>126.31578947368421</v>
      </c>
      <c r="Y94">
        <v>171.1578947368414</v>
      </c>
      <c r="Z94">
        <v>180</v>
      </c>
      <c r="AA94">
        <v>0</v>
      </c>
      <c r="AB94">
        <v>8.94315789473686</v>
      </c>
      <c r="AC94">
        <v>5.0778947368422651</v>
      </c>
      <c r="AD94">
        <v>0.82105263157888353</v>
      </c>
      <c r="AE94">
        <v>39.2214515235448</v>
      </c>
      <c r="AF94">
        <v>11.633285318559659</v>
      </c>
      <c r="AG94">
        <v>23.987368421052651</v>
      </c>
      <c r="AH94">
        <v>0</v>
      </c>
    </row>
    <row r="95" spans="1:34" x14ac:dyDescent="0.2">
      <c r="A95">
        <v>324</v>
      </c>
      <c r="B95">
        <v>45</v>
      </c>
      <c r="C95">
        <v>416.66666666666669</v>
      </c>
      <c r="D95">
        <v>833.33333333333337</v>
      </c>
      <c r="E95">
        <v>416.66666666666669</v>
      </c>
      <c r="F95">
        <f t="shared" si="4"/>
        <v>1250</v>
      </c>
      <c r="G95">
        <f t="shared" si="4"/>
        <v>1250</v>
      </c>
      <c r="H95">
        <v>1666.666666666667</v>
      </c>
      <c r="I95">
        <v>0.27777777777777779</v>
      </c>
      <c r="J95">
        <v>0.55555555555555558</v>
      </c>
      <c r="K95">
        <v>0.27777777777777779</v>
      </c>
      <c r="L95">
        <f t="shared" si="5"/>
        <v>0.83333333333333337</v>
      </c>
      <c r="M95">
        <f t="shared" si="5"/>
        <v>0.83333333333333337</v>
      </c>
      <c r="N95">
        <v>1.1111111111111109</v>
      </c>
      <c r="O95">
        <v>0</v>
      </c>
      <c r="P95">
        <v>9.6</v>
      </c>
      <c r="Q95">
        <v>91.2</v>
      </c>
      <c r="R95">
        <v>4.8</v>
      </c>
      <c r="S95">
        <v>17.459555555555639</v>
      </c>
      <c r="T95">
        <v>8.2204444444443254</v>
      </c>
      <c r="U95">
        <v>15.520000000000071</v>
      </c>
      <c r="V95">
        <v>0.13333333333329289</v>
      </c>
      <c r="W95">
        <v>41.333333333333158</v>
      </c>
      <c r="X95">
        <v>133.33333333333329</v>
      </c>
      <c r="Y95">
        <v>174.66666666666649</v>
      </c>
      <c r="Z95">
        <v>180</v>
      </c>
      <c r="AA95">
        <v>0</v>
      </c>
      <c r="AB95">
        <v>9.386666666666537</v>
      </c>
      <c r="AC95">
        <v>5.280000000000129</v>
      </c>
      <c r="AD95">
        <v>0.26666666666658578</v>
      </c>
      <c r="AE95">
        <v>34.919111111111278</v>
      </c>
      <c r="AF95">
        <v>7.054222222222112</v>
      </c>
      <c r="AG95">
        <v>25.760000000000019</v>
      </c>
      <c r="AH95">
        <v>0</v>
      </c>
    </row>
    <row r="96" spans="1:34" x14ac:dyDescent="0.2">
      <c r="A96">
        <v>324</v>
      </c>
      <c r="B96">
        <v>42.5</v>
      </c>
      <c r="C96">
        <v>416.66666666666669</v>
      </c>
      <c r="D96">
        <v>833.33333333333337</v>
      </c>
      <c r="E96">
        <v>416.66666666666669</v>
      </c>
      <c r="F96">
        <f t="shared" si="4"/>
        <v>1250</v>
      </c>
      <c r="G96">
        <f t="shared" si="4"/>
        <v>1250</v>
      </c>
      <c r="H96">
        <v>1666.666666666667</v>
      </c>
      <c r="I96">
        <v>0.29411764705882348</v>
      </c>
      <c r="J96">
        <v>0.58823529411764708</v>
      </c>
      <c r="K96">
        <v>0.29411764705882348</v>
      </c>
      <c r="L96">
        <f t="shared" si="5"/>
        <v>0.88235294117647056</v>
      </c>
      <c r="M96">
        <f t="shared" si="5"/>
        <v>0.88235294117647056</v>
      </c>
      <c r="N96">
        <v>1.1764705882352939</v>
      </c>
      <c r="O96">
        <v>0</v>
      </c>
      <c r="P96">
        <v>73.2</v>
      </c>
      <c r="Q96">
        <v>25.2</v>
      </c>
      <c r="R96">
        <v>62.4</v>
      </c>
      <c r="S96">
        <v>1.2743667820067559</v>
      </c>
      <c r="T96">
        <v>21.342103806228419</v>
      </c>
      <c r="U96">
        <v>15.25411764705883</v>
      </c>
      <c r="V96">
        <v>0.95294117647063104</v>
      </c>
      <c r="W96">
        <v>38.823529411764447</v>
      </c>
      <c r="X96">
        <v>141.1764705882353</v>
      </c>
      <c r="Y96">
        <v>179.9999999999998</v>
      </c>
      <c r="Z96">
        <v>180</v>
      </c>
      <c r="AA96">
        <v>0</v>
      </c>
      <c r="AB96">
        <v>37.905882352941177</v>
      </c>
      <c r="AC96">
        <v>1.4117647058823619</v>
      </c>
      <c r="AD96">
        <v>1.9058823529412621</v>
      </c>
      <c r="AE96">
        <v>2.5487335640135118</v>
      </c>
      <c r="AF96">
        <v>4.7783252595156629</v>
      </c>
      <c r="AG96">
        <v>29.096470588235309</v>
      </c>
      <c r="AH96">
        <v>0</v>
      </c>
    </row>
    <row r="97" spans="1:34" x14ac:dyDescent="0.2">
      <c r="A97">
        <v>324</v>
      </c>
      <c r="B97">
        <v>40</v>
      </c>
      <c r="C97">
        <v>416.66666666666669</v>
      </c>
      <c r="D97">
        <v>833.33333333333337</v>
      </c>
      <c r="E97">
        <v>416.66666666666669</v>
      </c>
      <c r="F97">
        <f t="shared" si="4"/>
        <v>1250</v>
      </c>
      <c r="G97">
        <f t="shared" si="4"/>
        <v>1250</v>
      </c>
      <c r="H97">
        <v>1666.666666666667</v>
      </c>
      <c r="I97">
        <v>0.31250000000000011</v>
      </c>
      <c r="J97">
        <v>0.62500000000000011</v>
      </c>
      <c r="K97">
        <v>0.31250000000000011</v>
      </c>
      <c r="L97">
        <f t="shared" si="5"/>
        <v>0.9375</v>
      </c>
      <c r="M97">
        <f t="shared" si="5"/>
        <v>0.9375</v>
      </c>
      <c r="N97">
        <v>1.25</v>
      </c>
      <c r="O97">
        <v>0</v>
      </c>
      <c r="P97">
        <v>32.4</v>
      </c>
      <c r="Q97">
        <v>88.8</v>
      </c>
      <c r="R97">
        <v>30</v>
      </c>
      <c r="S97">
        <v>19.350000000000001</v>
      </c>
      <c r="T97">
        <v>0</v>
      </c>
      <c r="U97">
        <v>10.65</v>
      </c>
      <c r="V97">
        <v>0</v>
      </c>
      <c r="W97">
        <v>30</v>
      </c>
      <c r="X97">
        <v>150</v>
      </c>
      <c r="Y97">
        <v>180</v>
      </c>
      <c r="Z97">
        <v>180</v>
      </c>
      <c r="AA97">
        <v>0</v>
      </c>
      <c r="AB97">
        <v>0</v>
      </c>
      <c r="AC97">
        <v>0</v>
      </c>
      <c r="AD97">
        <v>0</v>
      </c>
      <c r="AE97">
        <v>38.700000000000003</v>
      </c>
      <c r="AF97">
        <v>0</v>
      </c>
      <c r="AG97">
        <v>21.3</v>
      </c>
      <c r="AH97">
        <v>0</v>
      </c>
    </row>
    <row r="98" spans="1:34" x14ac:dyDescent="0.2">
      <c r="A98">
        <v>324</v>
      </c>
      <c r="B98">
        <v>37.5</v>
      </c>
      <c r="C98">
        <v>416.66666666666669</v>
      </c>
      <c r="D98">
        <v>833.33333333333337</v>
      </c>
      <c r="E98">
        <v>416.66666666666669</v>
      </c>
      <c r="F98">
        <f t="shared" ref="F98:G129" si="6">C98+D98</f>
        <v>1250</v>
      </c>
      <c r="G98">
        <f t="shared" si="6"/>
        <v>1250</v>
      </c>
      <c r="H98">
        <v>1666.666666666667</v>
      </c>
      <c r="I98">
        <v>0.33333333333333343</v>
      </c>
      <c r="J98">
        <v>0.66666666666666674</v>
      </c>
      <c r="K98">
        <v>0.33333333333333343</v>
      </c>
      <c r="L98">
        <f t="shared" ref="L98:M129" si="7">F98/(120*$B98*1000/3600)</f>
        <v>1</v>
      </c>
      <c r="M98">
        <f t="shared" si="7"/>
        <v>1</v>
      </c>
      <c r="N98">
        <v>1.333333333333333</v>
      </c>
      <c r="O98">
        <v>0</v>
      </c>
      <c r="P98">
        <v>52.8</v>
      </c>
      <c r="Q98">
        <v>105.6</v>
      </c>
      <c r="R98">
        <v>52.8</v>
      </c>
      <c r="S98">
        <v>7.6800000000000077</v>
      </c>
      <c r="T98">
        <v>6.7200000000001134</v>
      </c>
      <c r="U98">
        <v>7.3599999999998547</v>
      </c>
      <c r="V98">
        <v>2.2399999999995388</v>
      </c>
      <c r="W98">
        <v>23.999999999999531</v>
      </c>
      <c r="X98">
        <v>160</v>
      </c>
      <c r="Y98">
        <v>183.99999999999949</v>
      </c>
      <c r="Z98">
        <v>180</v>
      </c>
      <c r="AA98">
        <v>0</v>
      </c>
      <c r="AB98">
        <v>12.8</v>
      </c>
      <c r="AC98">
        <v>1.9199999999998709</v>
      </c>
      <c r="AD98">
        <v>4.4799999999990776</v>
      </c>
      <c r="AE98">
        <v>15.360000000000021</v>
      </c>
      <c r="AF98">
        <v>0.64000000000022639</v>
      </c>
      <c r="AG98">
        <v>12.799999999999841</v>
      </c>
      <c r="AH98">
        <v>0</v>
      </c>
    </row>
    <row r="99" spans="1:34" x14ac:dyDescent="0.2">
      <c r="A99">
        <v>324</v>
      </c>
      <c r="B99">
        <v>35</v>
      </c>
      <c r="C99">
        <v>416.66666666666669</v>
      </c>
      <c r="D99">
        <v>833.33333333333337</v>
      </c>
      <c r="E99">
        <v>416.66666666666669</v>
      </c>
      <c r="F99">
        <f t="shared" si="6"/>
        <v>1250</v>
      </c>
      <c r="G99">
        <f t="shared" si="6"/>
        <v>1250</v>
      </c>
      <c r="H99">
        <v>1666.666666666667</v>
      </c>
      <c r="I99">
        <v>0.35714285714285721</v>
      </c>
      <c r="J99">
        <v>0.7142857142857143</v>
      </c>
      <c r="K99">
        <v>0.35714285714285721</v>
      </c>
      <c r="L99">
        <f t="shared" si="7"/>
        <v>1.0714285714285714</v>
      </c>
      <c r="M99">
        <f t="shared" si="7"/>
        <v>1.0714285714285714</v>
      </c>
      <c r="N99">
        <v>1.428571428571429</v>
      </c>
      <c r="O99">
        <v>0</v>
      </c>
      <c r="P99">
        <v>61.2</v>
      </c>
      <c r="Q99">
        <v>2.4</v>
      </c>
      <c r="R99">
        <v>79.2</v>
      </c>
      <c r="S99">
        <v>3.4628571428571169</v>
      </c>
      <c r="T99">
        <v>15.137142857142839</v>
      </c>
      <c r="U99">
        <v>0.32571428571423489</v>
      </c>
      <c r="V99">
        <v>5.0742857142856854</v>
      </c>
      <c r="W99">
        <v>23.99999999999962</v>
      </c>
      <c r="X99">
        <v>171.42857142857139</v>
      </c>
      <c r="Y99">
        <v>195.42857142857099</v>
      </c>
      <c r="Z99">
        <v>180</v>
      </c>
      <c r="AA99">
        <v>0</v>
      </c>
      <c r="AB99">
        <v>18.34285714285717</v>
      </c>
      <c r="AC99">
        <v>0.3085714285713847</v>
      </c>
      <c r="AD99">
        <v>10.148571428571371</v>
      </c>
      <c r="AE99">
        <v>6.9257142857142346</v>
      </c>
      <c r="AF99">
        <v>11.931428571428521</v>
      </c>
      <c r="AG99">
        <v>0.34285714285708507</v>
      </c>
      <c r="AH99">
        <v>0</v>
      </c>
    </row>
    <row r="100" spans="1:34" x14ac:dyDescent="0.2">
      <c r="A100">
        <v>324</v>
      </c>
      <c r="B100">
        <v>32.5</v>
      </c>
      <c r="C100">
        <v>416.66666666666669</v>
      </c>
      <c r="D100">
        <v>833.33333333333337</v>
      </c>
      <c r="E100">
        <v>416.66666666666669</v>
      </c>
      <c r="F100">
        <f t="shared" si="6"/>
        <v>1250</v>
      </c>
      <c r="G100">
        <f t="shared" si="6"/>
        <v>1250</v>
      </c>
      <c r="H100">
        <v>1666.666666666667</v>
      </c>
      <c r="I100">
        <v>0.38461538461538458</v>
      </c>
      <c r="J100">
        <v>0.76923076923076927</v>
      </c>
      <c r="K100">
        <v>0.38461538461538458</v>
      </c>
      <c r="L100">
        <f t="shared" si="7"/>
        <v>1.153846153846154</v>
      </c>
      <c r="M100">
        <f t="shared" si="7"/>
        <v>1.153846153846154</v>
      </c>
      <c r="N100">
        <v>1.538461538461539</v>
      </c>
      <c r="O100">
        <v>0</v>
      </c>
      <c r="P100">
        <v>55.2</v>
      </c>
      <c r="Q100">
        <v>2.4</v>
      </c>
      <c r="R100">
        <v>73.2</v>
      </c>
      <c r="S100">
        <v>6.0738461538462918</v>
      </c>
      <c r="T100">
        <v>15.52615384615355</v>
      </c>
      <c r="U100">
        <v>1.8553846153846181</v>
      </c>
      <c r="V100">
        <v>0.54461538461538217</v>
      </c>
      <c r="W100">
        <v>23.999999999999631</v>
      </c>
      <c r="X100">
        <v>184.61538461538461</v>
      </c>
      <c r="Y100">
        <v>208.6153846153843</v>
      </c>
      <c r="Z100">
        <v>180</v>
      </c>
      <c r="AA100">
        <v>0</v>
      </c>
      <c r="AB100">
        <v>9.0461538461538211</v>
      </c>
      <c r="AC100">
        <v>0.66461538461541447</v>
      </c>
      <c r="AD100">
        <v>1.0892307692307639</v>
      </c>
      <c r="AE100">
        <v>12.14769230769258</v>
      </c>
      <c r="AF100">
        <v>22.006153846153271</v>
      </c>
      <c r="AG100">
        <v>3.0461538461538211</v>
      </c>
      <c r="AH100">
        <v>0</v>
      </c>
    </row>
    <row r="101" spans="1:34" x14ac:dyDescent="0.2">
      <c r="A101">
        <v>324</v>
      </c>
      <c r="B101">
        <v>30</v>
      </c>
      <c r="C101">
        <v>416.66666666666669</v>
      </c>
      <c r="D101">
        <v>833.33333333333337</v>
      </c>
      <c r="E101">
        <v>416.66666666666669</v>
      </c>
      <c r="F101">
        <f t="shared" si="6"/>
        <v>1250</v>
      </c>
      <c r="G101">
        <f t="shared" si="6"/>
        <v>1250</v>
      </c>
      <c r="H101">
        <v>1666.666666666667</v>
      </c>
      <c r="I101">
        <v>0.41666666666666669</v>
      </c>
      <c r="J101">
        <v>0.83333333333333337</v>
      </c>
      <c r="K101">
        <v>0.41666666666666669</v>
      </c>
      <c r="L101">
        <f t="shared" si="7"/>
        <v>1.25</v>
      </c>
      <c r="M101">
        <f t="shared" si="7"/>
        <v>1.25</v>
      </c>
      <c r="N101">
        <v>1.666666666666667</v>
      </c>
      <c r="O101">
        <v>0</v>
      </c>
      <c r="P101">
        <v>55.2</v>
      </c>
      <c r="Q101">
        <v>9.6</v>
      </c>
      <c r="R101">
        <v>82.8</v>
      </c>
      <c r="S101">
        <v>5.9599999999998143</v>
      </c>
      <c r="T101">
        <v>20.839999999999819</v>
      </c>
      <c r="U101">
        <v>0.47999999999996767</v>
      </c>
      <c r="V101">
        <v>0.71999999999995146</v>
      </c>
      <c r="W101">
        <v>27.99999999999967</v>
      </c>
      <c r="X101">
        <v>200</v>
      </c>
      <c r="Y101">
        <v>227.99999999999969</v>
      </c>
      <c r="Z101">
        <v>180</v>
      </c>
      <c r="AA101">
        <v>0</v>
      </c>
      <c r="AB101">
        <v>5.2</v>
      </c>
      <c r="AC101">
        <v>0.95999999999993535</v>
      </c>
      <c r="AD101">
        <v>1.4399999999999029</v>
      </c>
      <c r="AE101">
        <v>11.91999999999963</v>
      </c>
      <c r="AF101">
        <v>36.479999999999642</v>
      </c>
      <c r="AG101">
        <v>0</v>
      </c>
      <c r="AH101">
        <v>0</v>
      </c>
    </row>
    <row r="102" spans="1:34" x14ac:dyDescent="0.2">
      <c r="A102">
        <v>324</v>
      </c>
      <c r="B102">
        <v>27.5</v>
      </c>
      <c r="C102">
        <v>416.66666666666669</v>
      </c>
      <c r="D102">
        <v>833.33333333333337</v>
      </c>
      <c r="E102">
        <v>416.66666666666669</v>
      </c>
      <c r="F102">
        <f t="shared" si="6"/>
        <v>1250</v>
      </c>
      <c r="G102">
        <f t="shared" si="6"/>
        <v>1250</v>
      </c>
      <c r="H102">
        <v>1666.666666666667</v>
      </c>
      <c r="I102">
        <v>0.45454545454545459</v>
      </c>
      <c r="J102">
        <v>0.90909090909090917</v>
      </c>
      <c r="K102">
        <v>0.45454545454545459</v>
      </c>
      <c r="L102">
        <f t="shared" si="7"/>
        <v>1.3636363636363638</v>
      </c>
      <c r="M102">
        <f t="shared" si="7"/>
        <v>1.3636363636363638</v>
      </c>
      <c r="N102">
        <v>1.8181818181818179</v>
      </c>
      <c r="O102">
        <v>0</v>
      </c>
      <c r="P102">
        <v>43.2</v>
      </c>
      <c r="Q102">
        <v>34.799999999999997</v>
      </c>
      <c r="R102">
        <v>3.6</v>
      </c>
      <c r="S102">
        <v>9.1090909090909307</v>
      </c>
      <c r="T102">
        <v>0</v>
      </c>
      <c r="U102">
        <v>0</v>
      </c>
      <c r="V102">
        <v>12.70909090909093</v>
      </c>
      <c r="W102">
        <v>21.81818181818171</v>
      </c>
      <c r="X102">
        <v>218.18181818181819</v>
      </c>
      <c r="Y102">
        <v>239.99999999999989</v>
      </c>
      <c r="Z102">
        <v>180</v>
      </c>
      <c r="AA102">
        <v>0</v>
      </c>
      <c r="AB102">
        <v>0</v>
      </c>
      <c r="AC102">
        <v>0</v>
      </c>
      <c r="AD102">
        <v>25.418181818181861</v>
      </c>
      <c r="AE102">
        <v>18.218181818181861</v>
      </c>
      <c r="AF102">
        <v>0</v>
      </c>
      <c r="AG102">
        <v>0</v>
      </c>
      <c r="AH102">
        <v>0</v>
      </c>
    </row>
    <row r="103" spans="1:34" x14ac:dyDescent="0.2">
      <c r="A103">
        <v>324</v>
      </c>
      <c r="B103">
        <v>25</v>
      </c>
      <c r="C103">
        <v>416.66666666666669</v>
      </c>
      <c r="D103">
        <v>833.33333333333337</v>
      </c>
      <c r="E103">
        <v>416.66666666666669</v>
      </c>
      <c r="F103">
        <f t="shared" si="6"/>
        <v>1250</v>
      </c>
      <c r="G103">
        <f t="shared" si="6"/>
        <v>1250</v>
      </c>
      <c r="H103">
        <v>1666.666666666667</v>
      </c>
      <c r="I103">
        <v>0.5</v>
      </c>
      <c r="J103">
        <v>1</v>
      </c>
      <c r="K103">
        <v>0.5</v>
      </c>
      <c r="L103">
        <f t="shared" si="7"/>
        <v>1.5</v>
      </c>
      <c r="M103">
        <f t="shared" si="7"/>
        <v>1.5</v>
      </c>
      <c r="N103">
        <v>2</v>
      </c>
      <c r="O103">
        <v>0</v>
      </c>
      <c r="P103">
        <v>48</v>
      </c>
      <c r="Q103">
        <v>36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240</v>
      </c>
      <c r="Y103">
        <v>240</v>
      </c>
      <c r="Z103">
        <v>180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>
        <v>324</v>
      </c>
      <c r="B104">
        <v>22.5</v>
      </c>
      <c r="C104">
        <v>416.66666666666669</v>
      </c>
      <c r="D104">
        <v>833.33333333333337</v>
      </c>
      <c r="E104">
        <v>416.66666666666669</v>
      </c>
      <c r="F104">
        <f t="shared" si="6"/>
        <v>1250</v>
      </c>
      <c r="G104">
        <f t="shared" si="6"/>
        <v>1250</v>
      </c>
      <c r="H104">
        <v>1666.666666666667</v>
      </c>
      <c r="I104">
        <v>0.55555555555555558</v>
      </c>
      <c r="J104">
        <v>1.1111111111111109</v>
      </c>
      <c r="K104">
        <v>0.55555555555555558</v>
      </c>
      <c r="L104">
        <f t="shared" si="7"/>
        <v>1.6666666666666667</v>
      </c>
      <c r="M104">
        <f t="shared" si="7"/>
        <v>1.6666666666666667</v>
      </c>
      <c r="N104">
        <v>2.2222222222222219</v>
      </c>
      <c r="O104">
        <v>0</v>
      </c>
      <c r="P104">
        <v>42</v>
      </c>
      <c r="Q104">
        <v>32.4</v>
      </c>
      <c r="R104">
        <v>2.4</v>
      </c>
      <c r="S104">
        <v>3.1733333333332769</v>
      </c>
      <c r="T104">
        <v>12.62666666666664</v>
      </c>
      <c r="U104">
        <v>7.0799999999999272</v>
      </c>
      <c r="V104">
        <v>3.7866666666665778</v>
      </c>
      <c r="W104">
        <v>26.66666666666632</v>
      </c>
      <c r="X104">
        <v>266.66666666666669</v>
      </c>
      <c r="Y104">
        <v>293.33333333333297</v>
      </c>
      <c r="Z104">
        <v>180</v>
      </c>
      <c r="AA104">
        <v>0</v>
      </c>
      <c r="AB104">
        <v>10.133333333333249</v>
      </c>
      <c r="AC104">
        <v>6.5600000000000973</v>
      </c>
      <c r="AD104">
        <v>7.5733333333331556</v>
      </c>
      <c r="AE104">
        <v>6.3466666666665539</v>
      </c>
      <c r="AF104">
        <v>15.120000000000029</v>
      </c>
      <c r="AG104">
        <v>7.5999999999997572</v>
      </c>
      <c r="AH104">
        <v>0</v>
      </c>
    </row>
    <row r="105" spans="1:34" x14ac:dyDescent="0.2">
      <c r="A105">
        <v>324</v>
      </c>
      <c r="B105">
        <v>20</v>
      </c>
      <c r="C105">
        <v>416.66666666666669</v>
      </c>
      <c r="D105">
        <v>833.33333333333337</v>
      </c>
      <c r="E105">
        <v>416.66666666666669</v>
      </c>
      <c r="F105">
        <f t="shared" si="6"/>
        <v>1250</v>
      </c>
      <c r="G105">
        <f t="shared" si="6"/>
        <v>1250</v>
      </c>
      <c r="H105">
        <v>1666.666666666667</v>
      </c>
      <c r="I105">
        <v>0.62500000000000011</v>
      </c>
      <c r="J105">
        <v>1.25</v>
      </c>
      <c r="K105">
        <v>0.62500000000000011</v>
      </c>
      <c r="L105">
        <f t="shared" si="7"/>
        <v>1.875</v>
      </c>
      <c r="M105">
        <f t="shared" si="7"/>
        <v>1.875</v>
      </c>
      <c r="N105">
        <v>2.5</v>
      </c>
      <c r="O105">
        <v>0</v>
      </c>
      <c r="P105">
        <v>62.4</v>
      </c>
      <c r="Q105">
        <v>103.2</v>
      </c>
      <c r="R105">
        <v>58.8</v>
      </c>
      <c r="S105">
        <v>8.5799999999999681</v>
      </c>
      <c r="T105">
        <v>13.079999999999851</v>
      </c>
      <c r="U105">
        <v>2.034000000000014</v>
      </c>
      <c r="V105">
        <v>0.30599999999948418</v>
      </c>
      <c r="W105">
        <v>23.999999999999179</v>
      </c>
      <c r="X105">
        <v>300</v>
      </c>
      <c r="Y105">
        <v>323.9999999999992</v>
      </c>
      <c r="Z105">
        <v>180</v>
      </c>
      <c r="AA105">
        <v>0</v>
      </c>
      <c r="AB105">
        <v>0.47999999999988679</v>
      </c>
      <c r="AC105">
        <v>0.1080000000000938</v>
      </c>
      <c r="AD105">
        <v>0.61199999999896848</v>
      </c>
      <c r="AE105">
        <v>17.15999999999994</v>
      </c>
      <c r="AF105">
        <v>25.679999999999801</v>
      </c>
      <c r="AG105">
        <v>3.9599999999999351</v>
      </c>
      <c r="AH105">
        <v>0</v>
      </c>
    </row>
    <row r="106" spans="1:34" x14ac:dyDescent="0.2">
      <c r="A106">
        <v>331</v>
      </c>
      <c r="B106">
        <v>50</v>
      </c>
      <c r="C106">
        <v>416.66666666666669</v>
      </c>
      <c r="D106">
        <v>416.66666666666669</v>
      </c>
      <c r="E106">
        <v>416.66666666666669</v>
      </c>
      <c r="F106">
        <f t="shared" si="6"/>
        <v>833.33333333333337</v>
      </c>
      <c r="G106">
        <f t="shared" si="6"/>
        <v>833.33333333333337</v>
      </c>
      <c r="H106">
        <v>1250</v>
      </c>
      <c r="I106">
        <v>0.25</v>
      </c>
      <c r="J106">
        <v>0.25</v>
      </c>
      <c r="K106">
        <v>0.25</v>
      </c>
      <c r="L106">
        <f t="shared" si="7"/>
        <v>0.5</v>
      </c>
      <c r="M106">
        <f t="shared" si="7"/>
        <v>0.5</v>
      </c>
      <c r="N106">
        <v>0.75</v>
      </c>
      <c r="O106">
        <v>0</v>
      </c>
      <c r="P106">
        <v>6</v>
      </c>
      <c r="Q106">
        <v>84</v>
      </c>
      <c r="R106">
        <v>102</v>
      </c>
      <c r="S106">
        <v>14.4</v>
      </c>
      <c r="T106">
        <v>7.1999999999999993</v>
      </c>
      <c r="U106">
        <v>16.8</v>
      </c>
      <c r="V106">
        <v>3.6</v>
      </c>
      <c r="W106">
        <v>42</v>
      </c>
      <c r="X106">
        <v>90</v>
      </c>
      <c r="Y106">
        <v>132</v>
      </c>
      <c r="Z106">
        <v>180</v>
      </c>
      <c r="AA106">
        <v>0</v>
      </c>
      <c r="AB106">
        <v>9.6</v>
      </c>
      <c r="AC106">
        <v>19.2</v>
      </c>
      <c r="AD106">
        <v>7.2</v>
      </c>
      <c r="AE106">
        <v>28.8</v>
      </c>
      <c r="AF106">
        <v>4.8</v>
      </c>
      <c r="AG106">
        <v>14.4</v>
      </c>
      <c r="AH106">
        <v>0</v>
      </c>
    </row>
    <row r="107" spans="1:34" x14ac:dyDescent="0.2">
      <c r="A107">
        <v>331</v>
      </c>
      <c r="B107">
        <v>47.5</v>
      </c>
      <c r="C107">
        <v>416.66666666666669</v>
      </c>
      <c r="D107">
        <v>416.66666666666669</v>
      </c>
      <c r="E107">
        <v>416.66666666666669</v>
      </c>
      <c r="F107">
        <f t="shared" si="6"/>
        <v>833.33333333333337</v>
      </c>
      <c r="G107">
        <f t="shared" si="6"/>
        <v>833.33333333333337</v>
      </c>
      <c r="H107">
        <v>1250</v>
      </c>
      <c r="I107">
        <v>0.26315789473684209</v>
      </c>
      <c r="J107">
        <v>0.26315789473684209</v>
      </c>
      <c r="K107">
        <v>0.26315789473684209</v>
      </c>
      <c r="L107">
        <f t="shared" si="7"/>
        <v>0.52631578947368429</v>
      </c>
      <c r="M107">
        <f t="shared" si="7"/>
        <v>0.52631578947368429</v>
      </c>
      <c r="N107">
        <v>0.78947368421052644</v>
      </c>
      <c r="O107">
        <v>0</v>
      </c>
      <c r="P107">
        <v>1.2</v>
      </c>
      <c r="Q107">
        <v>85.2</v>
      </c>
      <c r="R107">
        <v>98.399999999999991</v>
      </c>
      <c r="S107">
        <v>13.22526315789481</v>
      </c>
      <c r="T107">
        <v>12.46105263157895</v>
      </c>
      <c r="U107">
        <v>15.14526315789476</v>
      </c>
      <c r="V107">
        <v>5.9052631578946606</v>
      </c>
      <c r="W107">
        <v>46.73684210526288</v>
      </c>
      <c r="X107">
        <v>94.736842105263165</v>
      </c>
      <c r="Y107">
        <v>141.47368421052599</v>
      </c>
      <c r="Z107">
        <v>180</v>
      </c>
      <c r="AA107">
        <v>0</v>
      </c>
      <c r="AB107">
        <v>14.703157894736879</v>
      </c>
      <c r="AC107">
        <v>17.823157894736909</v>
      </c>
      <c r="AD107">
        <v>11.810526315789319</v>
      </c>
      <c r="AE107">
        <v>26.450526315789631</v>
      </c>
      <c r="AF107">
        <v>10.21894736842102</v>
      </c>
      <c r="AG107">
        <v>12.467368421052621</v>
      </c>
      <c r="AH107">
        <v>0</v>
      </c>
    </row>
    <row r="108" spans="1:34" x14ac:dyDescent="0.2">
      <c r="A108">
        <v>331</v>
      </c>
      <c r="B108">
        <v>45</v>
      </c>
      <c r="C108">
        <v>416.66666666666669</v>
      </c>
      <c r="D108">
        <v>416.66666666666669</v>
      </c>
      <c r="E108">
        <v>416.66666666666669</v>
      </c>
      <c r="F108">
        <f t="shared" si="6"/>
        <v>833.33333333333337</v>
      </c>
      <c r="G108">
        <f t="shared" si="6"/>
        <v>833.33333333333337</v>
      </c>
      <c r="H108">
        <v>1250</v>
      </c>
      <c r="I108">
        <v>0.27777777777777779</v>
      </c>
      <c r="J108">
        <v>0.27777777777777779</v>
      </c>
      <c r="K108">
        <v>0.27777777777777779</v>
      </c>
      <c r="L108">
        <f t="shared" si="7"/>
        <v>0.55555555555555558</v>
      </c>
      <c r="M108">
        <f t="shared" si="7"/>
        <v>0.55555555555555558</v>
      </c>
      <c r="N108">
        <v>0.83333333333333337</v>
      </c>
      <c r="O108">
        <v>0</v>
      </c>
      <c r="P108">
        <v>43.2</v>
      </c>
      <c r="Q108">
        <v>46.8</v>
      </c>
      <c r="R108">
        <v>109.2</v>
      </c>
      <c r="S108">
        <v>18.226666666666439</v>
      </c>
      <c r="T108">
        <v>14.906666666666609</v>
      </c>
      <c r="U108">
        <v>13.853333333333319</v>
      </c>
      <c r="V108">
        <v>3.6799999999999269</v>
      </c>
      <c r="W108">
        <v>50.66666666666638</v>
      </c>
      <c r="X108">
        <v>100</v>
      </c>
      <c r="Y108">
        <v>150.6666666666664</v>
      </c>
      <c r="Z108">
        <v>180</v>
      </c>
      <c r="AA108">
        <v>0</v>
      </c>
      <c r="AB108">
        <v>9.8666666666666671</v>
      </c>
      <c r="AC108">
        <v>3.439999999999984</v>
      </c>
      <c r="AD108">
        <v>7.3599999999998547</v>
      </c>
      <c r="AE108">
        <v>36.453333333332878</v>
      </c>
      <c r="AF108">
        <v>19.946666666666552</v>
      </c>
      <c r="AG108">
        <v>24.266666666666669</v>
      </c>
      <c r="AH108">
        <v>0</v>
      </c>
    </row>
    <row r="109" spans="1:34" x14ac:dyDescent="0.2">
      <c r="A109">
        <v>331</v>
      </c>
      <c r="B109">
        <v>42.5</v>
      </c>
      <c r="C109">
        <v>416.66666666666669</v>
      </c>
      <c r="D109">
        <v>416.66666666666669</v>
      </c>
      <c r="E109">
        <v>416.66666666666669</v>
      </c>
      <c r="F109">
        <f t="shared" si="6"/>
        <v>833.33333333333337</v>
      </c>
      <c r="G109">
        <f t="shared" si="6"/>
        <v>833.33333333333337</v>
      </c>
      <c r="H109">
        <v>1250</v>
      </c>
      <c r="I109">
        <v>0.29411764705882348</v>
      </c>
      <c r="J109">
        <v>0.29411764705882348</v>
      </c>
      <c r="K109">
        <v>0.29411764705882348</v>
      </c>
      <c r="L109">
        <f t="shared" si="7"/>
        <v>0.58823529411764708</v>
      </c>
      <c r="M109">
        <f t="shared" si="7"/>
        <v>0.58823529411764708</v>
      </c>
      <c r="N109">
        <v>0.88235294117647056</v>
      </c>
      <c r="O109">
        <v>0</v>
      </c>
      <c r="P109">
        <v>61.2</v>
      </c>
      <c r="Q109">
        <v>54</v>
      </c>
      <c r="R109">
        <v>16.8</v>
      </c>
      <c r="S109">
        <v>7.3623529411763444</v>
      </c>
      <c r="T109">
        <v>19.390588235294089</v>
      </c>
      <c r="U109">
        <v>6.501176470588204</v>
      </c>
      <c r="V109">
        <v>15.451764705882271</v>
      </c>
      <c r="W109">
        <v>48.705882352940662</v>
      </c>
      <c r="X109">
        <v>105.88235294117651</v>
      </c>
      <c r="Y109">
        <v>154.58823529411711</v>
      </c>
      <c r="Z109">
        <v>180</v>
      </c>
      <c r="AA109">
        <v>0</v>
      </c>
      <c r="AB109">
        <v>25.90588235294118</v>
      </c>
      <c r="AC109">
        <v>11.096470588235229</v>
      </c>
      <c r="AD109">
        <v>30.903529411764531</v>
      </c>
      <c r="AE109">
        <v>14.724705882352691</v>
      </c>
      <c r="AF109">
        <v>12.875294117646989</v>
      </c>
      <c r="AG109">
        <v>1.905882352941181</v>
      </c>
      <c r="AH109">
        <v>0</v>
      </c>
    </row>
    <row r="110" spans="1:34" x14ac:dyDescent="0.2">
      <c r="A110">
        <v>331</v>
      </c>
      <c r="B110">
        <v>40</v>
      </c>
      <c r="C110">
        <v>416.66666666666669</v>
      </c>
      <c r="D110">
        <v>416.66666666666669</v>
      </c>
      <c r="E110">
        <v>416.66666666666669</v>
      </c>
      <c r="F110">
        <f t="shared" si="6"/>
        <v>833.33333333333337</v>
      </c>
      <c r="G110">
        <f t="shared" si="6"/>
        <v>833.33333333333337</v>
      </c>
      <c r="H110">
        <v>1250</v>
      </c>
      <c r="I110">
        <v>0.31250000000000011</v>
      </c>
      <c r="J110">
        <v>0.31250000000000011</v>
      </c>
      <c r="K110">
        <v>0.31250000000000011</v>
      </c>
      <c r="L110">
        <f t="shared" si="7"/>
        <v>0.62500000000000011</v>
      </c>
      <c r="M110">
        <f t="shared" si="7"/>
        <v>0.62500000000000011</v>
      </c>
      <c r="N110">
        <v>0.93750000000000022</v>
      </c>
      <c r="O110">
        <v>0</v>
      </c>
      <c r="P110">
        <v>43.2</v>
      </c>
      <c r="Q110">
        <v>22.8</v>
      </c>
      <c r="R110">
        <v>97.2</v>
      </c>
      <c r="S110">
        <v>14.159999999999901</v>
      </c>
      <c r="T110">
        <v>4.8899999999999846</v>
      </c>
      <c r="U110">
        <v>14.220000000000031</v>
      </c>
      <c r="V110">
        <v>13.229999999999929</v>
      </c>
      <c r="W110">
        <v>46.499999999999673</v>
      </c>
      <c r="X110">
        <v>112.5</v>
      </c>
      <c r="Y110">
        <v>158.99999999999969</v>
      </c>
      <c r="Z110">
        <v>180</v>
      </c>
      <c r="AA110">
        <v>0</v>
      </c>
      <c r="AB110">
        <v>5.7</v>
      </c>
      <c r="AC110">
        <v>20.34000000000006</v>
      </c>
      <c r="AD110">
        <v>26.459999999999859</v>
      </c>
      <c r="AE110">
        <v>28.319999999999791</v>
      </c>
      <c r="AF110">
        <v>4.0799999999999681</v>
      </c>
      <c r="AG110">
        <v>8.1</v>
      </c>
      <c r="AH110">
        <v>0</v>
      </c>
    </row>
    <row r="111" spans="1:34" x14ac:dyDescent="0.2">
      <c r="A111">
        <v>331</v>
      </c>
      <c r="B111">
        <v>37.5</v>
      </c>
      <c r="C111">
        <v>416.66666666666669</v>
      </c>
      <c r="D111">
        <v>416.66666666666669</v>
      </c>
      <c r="E111">
        <v>416.66666666666669</v>
      </c>
      <c r="F111">
        <f t="shared" si="6"/>
        <v>833.33333333333337</v>
      </c>
      <c r="G111">
        <f t="shared" si="6"/>
        <v>833.33333333333337</v>
      </c>
      <c r="H111">
        <v>1250</v>
      </c>
      <c r="I111">
        <v>0.33333333333333343</v>
      </c>
      <c r="J111">
        <v>0.33333333333333343</v>
      </c>
      <c r="K111">
        <v>0.33333333333333343</v>
      </c>
      <c r="L111">
        <f t="shared" si="7"/>
        <v>0.66666666666666674</v>
      </c>
      <c r="M111">
        <f t="shared" si="7"/>
        <v>0.66666666666666674</v>
      </c>
      <c r="N111">
        <v>1</v>
      </c>
      <c r="O111">
        <v>0</v>
      </c>
      <c r="P111">
        <v>48</v>
      </c>
      <c r="Q111">
        <v>63.599999999999987</v>
      </c>
      <c r="R111">
        <v>22.8</v>
      </c>
      <c r="S111">
        <v>14.359999999999941</v>
      </c>
      <c r="T111">
        <v>21.43999999999998</v>
      </c>
      <c r="U111">
        <v>0.51999999999991109</v>
      </c>
      <c r="V111">
        <v>7.6799999999997253</v>
      </c>
      <c r="W111">
        <v>43.999999999999559</v>
      </c>
      <c r="X111">
        <v>120</v>
      </c>
      <c r="Y111">
        <v>163.9999999999996</v>
      </c>
      <c r="Z111">
        <v>180</v>
      </c>
      <c r="AA111">
        <v>0</v>
      </c>
      <c r="AB111">
        <v>8</v>
      </c>
      <c r="AC111">
        <v>0.23999999999990301</v>
      </c>
      <c r="AD111">
        <v>15.359999999999451</v>
      </c>
      <c r="AE111">
        <v>28.719999999999871</v>
      </c>
      <c r="AF111">
        <v>34.879999999999967</v>
      </c>
      <c r="AG111">
        <v>0.79999999999991911</v>
      </c>
      <c r="AH111">
        <v>0</v>
      </c>
    </row>
    <row r="112" spans="1:34" x14ac:dyDescent="0.2">
      <c r="A112">
        <v>331</v>
      </c>
      <c r="B112">
        <v>35</v>
      </c>
      <c r="C112">
        <v>416.66666666666669</v>
      </c>
      <c r="D112">
        <v>416.66666666666669</v>
      </c>
      <c r="E112">
        <v>416.66666666666669</v>
      </c>
      <c r="F112">
        <f t="shared" si="6"/>
        <v>833.33333333333337</v>
      </c>
      <c r="G112">
        <f t="shared" si="6"/>
        <v>833.33333333333337</v>
      </c>
      <c r="H112">
        <v>1250</v>
      </c>
      <c r="I112">
        <v>0.35714285714285721</v>
      </c>
      <c r="J112">
        <v>0.35714285714285721</v>
      </c>
      <c r="K112">
        <v>0.35714285714285721</v>
      </c>
      <c r="L112">
        <f t="shared" si="7"/>
        <v>0.7142857142857143</v>
      </c>
      <c r="M112">
        <f t="shared" si="7"/>
        <v>0.7142857142857143</v>
      </c>
      <c r="N112">
        <v>1.071428571428571</v>
      </c>
      <c r="O112">
        <v>0</v>
      </c>
      <c r="P112">
        <v>49.2</v>
      </c>
      <c r="Q112">
        <v>38.4</v>
      </c>
      <c r="R112">
        <v>109.2</v>
      </c>
      <c r="S112">
        <v>9.977142857142745</v>
      </c>
      <c r="T112">
        <v>11.194285714285639</v>
      </c>
      <c r="U112">
        <v>12.06857142857144</v>
      </c>
      <c r="V112">
        <v>7.9028571428571013</v>
      </c>
      <c r="W112">
        <v>41.14285714285684</v>
      </c>
      <c r="X112">
        <v>128.57142857142861</v>
      </c>
      <c r="Y112">
        <v>169.71428571428541</v>
      </c>
      <c r="Z112">
        <v>180</v>
      </c>
      <c r="AA112">
        <v>0</v>
      </c>
      <c r="AB112">
        <v>6.3428571428571656</v>
      </c>
      <c r="AC112">
        <v>17.794285714285721</v>
      </c>
      <c r="AD112">
        <v>15.805714285714201</v>
      </c>
      <c r="AE112">
        <v>19.95428571428549</v>
      </c>
      <c r="AF112">
        <v>16.045714285714109</v>
      </c>
      <c r="AG112">
        <v>6.3428571428571656</v>
      </c>
      <c r="AH112">
        <v>0</v>
      </c>
    </row>
    <row r="113" spans="1:34" x14ac:dyDescent="0.2">
      <c r="A113">
        <v>331</v>
      </c>
      <c r="B113">
        <v>32.5</v>
      </c>
      <c r="C113">
        <v>416.66666666666669</v>
      </c>
      <c r="D113">
        <v>416.66666666666669</v>
      </c>
      <c r="E113">
        <v>416.66666666666669</v>
      </c>
      <c r="F113">
        <f t="shared" si="6"/>
        <v>833.33333333333337</v>
      </c>
      <c r="G113">
        <f t="shared" si="6"/>
        <v>833.33333333333337</v>
      </c>
      <c r="H113">
        <v>1250</v>
      </c>
      <c r="I113">
        <v>0.38461538461538458</v>
      </c>
      <c r="J113">
        <v>0.38461538461538458</v>
      </c>
      <c r="K113">
        <v>0.38461538461538458</v>
      </c>
      <c r="L113">
        <f t="shared" si="7"/>
        <v>0.76923076923076927</v>
      </c>
      <c r="M113">
        <f t="shared" si="7"/>
        <v>0.76923076923076927</v>
      </c>
      <c r="N113">
        <v>1.153846153846154</v>
      </c>
      <c r="O113">
        <v>0</v>
      </c>
      <c r="P113">
        <v>61.2</v>
      </c>
      <c r="Q113">
        <v>58.8</v>
      </c>
      <c r="R113">
        <v>9.6</v>
      </c>
      <c r="S113">
        <v>3.498461538461318</v>
      </c>
      <c r="T113">
        <v>20.224615384615429</v>
      </c>
      <c r="U113">
        <v>8.8892307692306023</v>
      </c>
      <c r="V113">
        <v>5.2338461538463079</v>
      </c>
      <c r="W113">
        <v>37.846153846153541</v>
      </c>
      <c r="X113">
        <v>138.46153846153851</v>
      </c>
      <c r="Y113">
        <v>176.30769230769201</v>
      </c>
      <c r="Z113">
        <v>180</v>
      </c>
      <c r="AA113">
        <v>0</v>
      </c>
      <c r="AB113">
        <v>15.046153846153819</v>
      </c>
      <c r="AC113">
        <v>14.732307692307471</v>
      </c>
      <c r="AD113">
        <v>10.467692307692619</v>
      </c>
      <c r="AE113">
        <v>6.9969230769226369</v>
      </c>
      <c r="AF113">
        <v>25.403076923077041</v>
      </c>
      <c r="AG113">
        <v>3.0461538461537399</v>
      </c>
      <c r="AH113">
        <v>0</v>
      </c>
    </row>
    <row r="114" spans="1:34" x14ac:dyDescent="0.2">
      <c r="A114">
        <v>331</v>
      </c>
      <c r="B114">
        <v>30</v>
      </c>
      <c r="C114">
        <v>416.66666666666669</v>
      </c>
      <c r="D114">
        <v>416.66666666666669</v>
      </c>
      <c r="E114">
        <v>416.66666666666669</v>
      </c>
      <c r="F114">
        <f t="shared" si="6"/>
        <v>833.33333333333337</v>
      </c>
      <c r="G114">
        <f t="shared" si="6"/>
        <v>833.33333333333337</v>
      </c>
      <c r="H114">
        <v>1250</v>
      </c>
      <c r="I114">
        <v>0.41666666666666669</v>
      </c>
      <c r="J114">
        <v>0.41666666666666669</v>
      </c>
      <c r="K114">
        <v>0.41666666666666669</v>
      </c>
      <c r="L114">
        <f t="shared" si="7"/>
        <v>0.83333333333333337</v>
      </c>
      <c r="M114">
        <f t="shared" si="7"/>
        <v>0.83333333333333337</v>
      </c>
      <c r="N114">
        <v>1.25</v>
      </c>
      <c r="O114">
        <v>0</v>
      </c>
      <c r="P114">
        <v>38.4</v>
      </c>
      <c r="Q114">
        <v>0</v>
      </c>
      <c r="R114">
        <v>50.4</v>
      </c>
      <c r="S114">
        <v>10</v>
      </c>
      <c r="T114">
        <v>0</v>
      </c>
      <c r="U114">
        <v>19.8</v>
      </c>
      <c r="V114">
        <v>0.2</v>
      </c>
      <c r="W114">
        <v>30</v>
      </c>
      <c r="X114">
        <v>150</v>
      </c>
      <c r="Y114">
        <v>180</v>
      </c>
      <c r="Z114">
        <v>180</v>
      </c>
      <c r="AA114">
        <v>0</v>
      </c>
      <c r="AB114">
        <v>0</v>
      </c>
      <c r="AC114">
        <v>20</v>
      </c>
      <c r="AD114">
        <v>0.4</v>
      </c>
      <c r="AE114">
        <v>20</v>
      </c>
      <c r="AF114">
        <v>0</v>
      </c>
      <c r="AG114">
        <v>19.600000000000001</v>
      </c>
      <c r="AH114">
        <v>0</v>
      </c>
    </row>
    <row r="115" spans="1:34" x14ac:dyDescent="0.2">
      <c r="A115">
        <v>331</v>
      </c>
      <c r="B115">
        <v>27.5</v>
      </c>
      <c r="C115">
        <v>416.66666666666669</v>
      </c>
      <c r="D115">
        <v>416.66666666666669</v>
      </c>
      <c r="E115">
        <v>416.66666666666669</v>
      </c>
      <c r="F115">
        <f t="shared" si="6"/>
        <v>833.33333333333337</v>
      </c>
      <c r="G115">
        <f t="shared" si="6"/>
        <v>833.33333333333337</v>
      </c>
      <c r="H115">
        <v>1250</v>
      </c>
      <c r="I115">
        <v>0.45454545454545459</v>
      </c>
      <c r="J115">
        <v>0.45454545454545459</v>
      </c>
      <c r="K115">
        <v>0.45454545454545459</v>
      </c>
      <c r="L115">
        <f t="shared" si="7"/>
        <v>0.90909090909090917</v>
      </c>
      <c r="M115">
        <f t="shared" si="7"/>
        <v>0.90909090909090917</v>
      </c>
      <c r="N115">
        <v>1.363636363636364</v>
      </c>
      <c r="O115">
        <v>0</v>
      </c>
      <c r="P115">
        <v>43.2</v>
      </c>
      <c r="Q115">
        <v>0</v>
      </c>
      <c r="R115">
        <v>55.2</v>
      </c>
      <c r="S115">
        <v>5.4545454545454657</v>
      </c>
      <c r="T115">
        <v>0</v>
      </c>
      <c r="U115">
        <v>10.58181818181818</v>
      </c>
      <c r="V115">
        <v>0.32727272727271262</v>
      </c>
      <c r="W115">
        <v>16.363636363636349</v>
      </c>
      <c r="X115">
        <v>163.63636363636371</v>
      </c>
      <c r="Y115">
        <v>180</v>
      </c>
      <c r="Z115">
        <v>180</v>
      </c>
      <c r="AA115">
        <v>0</v>
      </c>
      <c r="AB115">
        <v>0</v>
      </c>
      <c r="AC115">
        <v>10.90909090909093</v>
      </c>
      <c r="AD115">
        <v>0.65454545454542512</v>
      </c>
      <c r="AE115">
        <v>10.90909090909093</v>
      </c>
      <c r="AF115">
        <v>0</v>
      </c>
      <c r="AG115">
        <v>10.254545454545431</v>
      </c>
      <c r="AH115">
        <v>0</v>
      </c>
    </row>
    <row r="116" spans="1:34" x14ac:dyDescent="0.2">
      <c r="A116">
        <v>331</v>
      </c>
      <c r="B116">
        <v>25</v>
      </c>
      <c r="C116">
        <v>416.66666666666669</v>
      </c>
      <c r="D116">
        <v>416.66666666666669</v>
      </c>
      <c r="E116">
        <v>416.66666666666669</v>
      </c>
      <c r="F116">
        <f t="shared" si="6"/>
        <v>833.33333333333337</v>
      </c>
      <c r="G116">
        <f t="shared" si="6"/>
        <v>833.33333333333337</v>
      </c>
      <c r="H116">
        <v>1250</v>
      </c>
      <c r="I116">
        <v>0.5</v>
      </c>
      <c r="J116">
        <v>0.5</v>
      </c>
      <c r="K116">
        <v>0.5</v>
      </c>
      <c r="L116">
        <f t="shared" si="7"/>
        <v>1</v>
      </c>
      <c r="M116">
        <f t="shared" si="7"/>
        <v>1</v>
      </c>
      <c r="N116">
        <v>1.5</v>
      </c>
      <c r="O116">
        <v>0</v>
      </c>
      <c r="P116">
        <v>48</v>
      </c>
      <c r="Q116">
        <v>0</v>
      </c>
      <c r="R116">
        <v>60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180</v>
      </c>
      <c r="Y116">
        <v>180</v>
      </c>
      <c r="Z116">
        <v>180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">
      <c r="A117">
        <v>331</v>
      </c>
      <c r="B117">
        <v>22.5</v>
      </c>
      <c r="C117">
        <v>416.66666666666669</v>
      </c>
      <c r="D117">
        <v>416.66666666666669</v>
      </c>
      <c r="E117">
        <v>416.66666666666669</v>
      </c>
      <c r="F117">
        <f t="shared" si="6"/>
        <v>833.33333333333337</v>
      </c>
      <c r="G117">
        <f t="shared" si="6"/>
        <v>833.33333333333337</v>
      </c>
      <c r="H117">
        <v>1250</v>
      </c>
      <c r="I117">
        <v>0.55555555555555558</v>
      </c>
      <c r="J117">
        <v>0.55555555555555558</v>
      </c>
      <c r="K117">
        <v>0.55555555555555558</v>
      </c>
      <c r="L117">
        <f t="shared" si="7"/>
        <v>1.1111111111111112</v>
      </c>
      <c r="M117">
        <f t="shared" si="7"/>
        <v>1.1111111111111112</v>
      </c>
      <c r="N117">
        <v>1.666666666666667</v>
      </c>
      <c r="O117">
        <v>0</v>
      </c>
      <c r="P117">
        <v>42</v>
      </c>
      <c r="Q117">
        <v>0</v>
      </c>
      <c r="R117">
        <v>62.4</v>
      </c>
      <c r="S117">
        <v>2.50666666666661</v>
      </c>
      <c r="T117">
        <v>13.75999999999998</v>
      </c>
      <c r="U117">
        <v>1.19629629629631</v>
      </c>
      <c r="V117">
        <v>2.5370370370369431</v>
      </c>
      <c r="W117">
        <v>19.9999999999993</v>
      </c>
      <c r="X117">
        <v>200</v>
      </c>
      <c r="Y117">
        <v>219.99999999999929</v>
      </c>
      <c r="Z117">
        <v>180</v>
      </c>
      <c r="AA117">
        <v>0</v>
      </c>
      <c r="AB117">
        <v>10.133333333333249</v>
      </c>
      <c r="AC117">
        <v>2.392592592592619</v>
      </c>
      <c r="AD117">
        <v>5.0740740740738852</v>
      </c>
      <c r="AE117">
        <v>5.01333333333322</v>
      </c>
      <c r="AF117">
        <v>17.386666666666699</v>
      </c>
      <c r="AG117">
        <v>0</v>
      </c>
      <c r="AH117">
        <v>0</v>
      </c>
    </row>
    <row r="118" spans="1:34" x14ac:dyDescent="0.2">
      <c r="A118">
        <v>331</v>
      </c>
      <c r="B118">
        <v>20</v>
      </c>
      <c r="C118">
        <v>416.66666666666669</v>
      </c>
      <c r="D118">
        <v>416.66666666666669</v>
      </c>
      <c r="E118">
        <v>416.66666666666669</v>
      </c>
      <c r="F118">
        <f t="shared" si="6"/>
        <v>833.33333333333337</v>
      </c>
      <c r="G118">
        <f t="shared" si="6"/>
        <v>833.33333333333337</v>
      </c>
      <c r="H118">
        <v>1250</v>
      </c>
      <c r="I118">
        <v>0.62500000000000011</v>
      </c>
      <c r="J118">
        <v>0.62500000000000011</v>
      </c>
      <c r="K118">
        <v>0.62500000000000011</v>
      </c>
      <c r="L118">
        <f t="shared" si="7"/>
        <v>1.2500000000000002</v>
      </c>
      <c r="M118">
        <f t="shared" si="7"/>
        <v>1.2500000000000002</v>
      </c>
      <c r="N118">
        <v>1.875</v>
      </c>
      <c r="O118">
        <v>0</v>
      </c>
      <c r="P118">
        <v>52.8</v>
      </c>
      <c r="Q118">
        <v>19.2</v>
      </c>
      <c r="R118">
        <v>104.4</v>
      </c>
      <c r="S118">
        <v>3.9</v>
      </c>
      <c r="T118">
        <v>18.41999999999987</v>
      </c>
      <c r="U118">
        <v>5.8290000000000068</v>
      </c>
      <c r="V118">
        <v>4.8509999999997184</v>
      </c>
      <c r="W118">
        <v>32.999999999999453</v>
      </c>
      <c r="X118">
        <v>225</v>
      </c>
      <c r="Y118">
        <v>257.99999999999937</v>
      </c>
      <c r="Z118">
        <v>180</v>
      </c>
      <c r="AA118">
        <v>0</v>
      </c>
      <c r="AB118">
        <v>8.1599999999999362</v>
      </c>
      <c r="AC118">
        <v>1.9379999999999811</v>
      </c>
      <c r="AD118">
        <v>9.7019999999994369</v>
      </c>
      <c r="AE118">
        <v>7.8</v>
      </c>
      <c r="AF118">
        <v>28.679999999999801</v>
      </c>
      <c r="AG118">
        <v>9.7200000000000326</v>
      </c>
      <c r="AH118">
        <v>0</v>
      </c>
    </row>
    <row r="119" spans="1:34" x14ac:dyDescent="0.2">
      <c r="A119">
        <v>332</v>
      </c>
      <c r="B119">
        <v>50</v>
      </c>
      <c r="C119">
        <v>583.33333333333337</v>
      </c>
      <c r="D119">
        <v>416.66666666666669</v>
      </c>
      <c r="E119">
        <v>583.33333333333337</v>
      </c>
      <c r="F119">
        <f t="shared" si="6"/>
        <v>1000</v>
      </c>
      <c r="G119">
        <f t="shared" si="6"/>
        <v>1000</v>
      </c>
      <c r="H119">
        <v>1583.333333333333</v>
      </c>
      <c r="I119">
        <v>0.35</v>
      </c>
      <c r="J119">
        <v>0.25</v>
      </c>
      <c r="K119">
        <v>0.35</v>
      </c>
      <c r="L119">
        <f t="shared" si="7"/>
        <v>0.6</v>
      </c>
      <c r="M119">
        <f t="shared" si="7"/>
        <v>0.6</v>
      </c>
      <c r="N119">
        <v>0.95000000000000018</v>
      </c>
      <c r="O119">
        <v>0</v>
      </c>
      <c r="P119">
        <v>43.2</v>
      </c>
      <c r="Q119">
        <v>34.799999999999997</v>
      </c>
      <c r="R119">
        <v>103.2</v>
      </c>
      <c r="S119">
        <v>12.359999999999809</v>
      </c>
      <c r="T119">
        <v>4.4399999999999444</v>
      </c>
      <c r="U119">
        <v>9.120000000000033</v>
      </c>
      <c r="V119">
        <v>4.0799999999999681</v>
      </c>
      <c r="W119">
        <v>29.99999999999967</v>
      </c>
      <c r="X119">
        <v>114</v>
      </c>
      <c r="Y119">
        <v>143.99999999999969</v>
      </c>
      <c r="Z119">
        <v>180</v>
      </c>
      <c r="AA119">
        <v>0</v>
      </c>
      <c r="AB119">
        <v>1.2</v>
      </c>
      <c r="AC119">
        <v>8.6400000000000645</v>
      </c>
      <c r="AD119">
        <v>8.1599999999999362</v>
      </c>
      <c r="AE119">
        <v>24.719999999999629</v>
      </c>
      <c r="AF119">
        <v>7.6799999999998869</v>
      </c>
      <c r="AG119">
        <v>9.6</v>
      </c>
      <c r="AH119">
        <v>0</v>
      </c>
    </row>
    <row r="120" spans="1:34" x14ac:dyDescent="0.2">
      <c r="A120">
        <v>332</v>
      </c>
      <c r="B120">
        <v>47.5</v>
      </c>
      <c r="C120">
        <v>583.33333333333337</v>
      </c>
      <c r="D120">
        <v>416.66666666666669</v>
      </c>
      <c r="E120">
        <v>583.33333333333337</v>
      </c>
      <c r="F120">
        <f t="shared" si="6"/>
        <v>1000</v>
      </c>
      <c r="G120">
        <f t="shared" si="6"/>
        <v>1000</v>
      </c>
      <c r="H120">
        <v>1583.333333333333</v>
      </c>
      <c r="I120">
        <v>0.36842105263157898</v>
      </c>
      <c r="J120">
        <v>0.26315789473684209</v>
      </c>
      <c r="K120">
        <v>0.36842105263157898</v>
      </c>
      <c r="L120">
        <f t="shared" si="7"/>
        <v>0.63157894736842113</v>
      </c>
      <c r="M120">
        <f t="shared" si="7"/>
        <v>0.63157894736842113</v>
      </c>
      <c r="N120">
        <v>1</v>
      </c>
      <c r="O120">
        <v>0</v>
      </c>
      <c r="P120">
        <v>49.2</v>
      </c>
      <c r="Q120">
        <v>38.4</v>
      </c>
      <c r="R120">
        <v>109.2</v>
      </c>
      <c r="S120">
        <v>8.1726315789471595</v>
      </c>
      <c r="T120">
        <v>6.0063157894736321</v>
      </c>
      <c r="U120">
        <v>8.0084210526315367</v>
      </c>
      <c r="V120">
        <v>4.9705263157893773</v>
      </c>
      <c r="W120">
        <v>27.157894736841779</v>
      </c>
      <c r="X120">
        <v>120</v>
      </c>
      <c r="Y120">
        <v>147.1578947368418</v>
      </c>
      <c r="Z120">
        <v>180</v>
      </c>
      <c r="AA120">
        <v>0</v>
      </c>
      <c r="AB120">
        <v>4.9894736842105178</v>
      </c>
      <c r="AC120">
        <v>11.027368421052561</v>
      </c>
      <c r="AD120">
        <v>9.9410526315787546</v>
      </c>
      <c r="AE120">
        <v>16.345263157894319</v>
      </c>
      <c r="AF120">
        <v>7.0231578947367472</v>
      </c>
      <c r="AG120">
        <v>4.9894736842105178</v>
      </c>
      <c r="AH120">
        <v>0</v>
      </c>
    </row>
    <row r="121" spans="1:34" x14ac:dyDescent="0.2">
      <c r="A121">
        <v>332</v>
      </c>
      <c r="B121">
        <v>45</v>
      </c>
      <c r="C121">
        <v>583.33333333333337</v>
      </c>
      <c r="D121">
        <v>416.66666666666669</v>
      </c>
      <c r="E121">
        <v>583.33333333333337</v>
      </c>
      <c r="F121">
        <f t="shared" si="6"/>
        <v>1000</v>
      </c>
      <c r="G121">
        <f t="shared" si="6"/>
        <v>1000</v>
      </c>
      <c r="H121">
        <v>1583.333333333333</v>
      </c>
      <c r="I121">
        <v>0.3888888888888889</v>
      </c>
      <c r="J121">
        <v>0.27777777777777779</v>
      </c>
      <c r="K121">
        <v>0.3888888888888889</v>
      </c>
      <c r="L121">
        <f t="shared" si="7"/>
        <v>0.66666666666666663</v>
      </c>
      <c r="M121">
        <f t="shared" si="7"/>
        <v>0.66666666666666663</v>
      </c>
      <c r="N121">
        <v>1.055555555555556</v>
      </c>
      <c r="O121">
        <v>0</v>
      </c>
      <c r="P121">
        <v>58.8</v>
      </c>
      <c r="Q121">
        <v>61.2</v>
      </c>
      <c r="R121">
        <v>14.4</v>
      </c>
      <c r="S121">
        <v>3.640000000000065</v>
      </c>
      <c r="T121">
        <v>15.559999999999979</v>
      </c>
      <c r="U121">
        <v>2.1466666666666749</v>
      </c>
      <c r="V121">
        <v>2.6533333333330829</v>
      </c>
      <c r="W121">
        <v>23.999999999999659</v>
      </c>
      <c r="X121">
        <v>126.6666666666667</v>
      </c>
      <c r="Y121">
        <v>150.66666666666629</v>
      </c>
      <c r="Z121">
        <v>180</v>
      </c>
      <c r="AA121">
        <v>0</v>
      </c>
      <c r="AB121">
        <v>12.133333333333329</v>
      </c>
      <c r="AC121">
        <v>4.1600000000000161</v>
      </c>
      <c r="AD121">
        <v>5.3066666666661657</v>
      </c>
      <c r="AE121">
        <v>7.280000000000129</v>
      </c>
      <c r="AF121">
        <v>18.986666666666618</v>
      </c>
      <c r="AG121">
        <v>0.1333333333333333</v>
      </c>
      <c r="AH121">
        <v>0</v>
      </c>
    </row>
    <row r="122" spans="1:34" x14ac:dyDescent="0.2">
      <c r="A122">
        <v>332</v>
      </c>
      <c r="B122">
        <v>42.5</v>
      </c>
      <c r="C122">
        <v>583.33333333333337</v>
      </c>
      <c r="D122">
        <v>416.66666666666669</v>
      </c>
      <c r="E122">
        <v>583.33333333333337</v>
      </c>
      <c r="F122">
        <f t="shared" si="6"/>
        <v>1000</v>
      </c>
      <c r="G122">
        <f t="shared" si="6"/>
        <v>1000</v>
      </c>
      <c r="H122">
        <v>1583.333333333333</v>
      </c>
      <c r="I122">
        <v>0.41176470588235292</v>
      </c>
      <c r="J122">
        <v>0.29411764705882348</v>
      </c>
      <c r="K122">
        <v>0.41176470588235292</v>
      </c>
      <c r="L122">
        <f t="shared" si="7"/>
        <v>0.70588235294117641</v>
      </c>
      <c r="M122">
        <f t="shared" si="7"/>
        <v>0.70588235294117641</v>
      </c>
      <c r="N122">
        <v>1.117647058823529</v>
      </c>
      <c r="O122">
        <v>0</v>
      </c>
      <c r="P122">
        <v>54</v>
      </c>
      <c r="Q122">
        <v>43.2</v>
      </c>
      <c r="R122">
        <v>116.4</v>
      </c>
      <c r="S122">
        <v>3.8047058823527351</v>
      </c>
      <c r="T122">
        <v>8.3364705882352919</v>
      </c>
      <c r="U122">
        <v>6.628235294117621</v>
      </c>
      <c r="V122">
        <v>4.5247058823528077</v>
      </c>
      <c r="W122">
        <v>23.2941176470583</v>
      </c>
      <c r="X122">
        <v>134.11764705882351</v>
      </c>
      <c r="Y122">
        <v>157.41176470588181</v>
      </c>
      <c r="Z122">
        <v>180</v>
      </c>
      <c r="AA122">
        <v>0</v>
      </c>
      <c r="AB122">
        <v>4.5882352941176379</v>
      </c>
      <c r="AC122">
        <v>13.25647058823524</v>
      </c>
      <c r="AD122">
        <v>9.0494117647056154</v>
      </c>
      <c r="AE122">
        <v>7.6094117647054693</v>
      </c>
      <c r="AF122">
        <v>12.084705882352949</v>
      </c>
      <c r="AG122">
        <v>0</v>
      </c>
      <c r="AH122">
        <v>0</v>
      </c>
    </row>
    <row r="123" spans="1:34" x14ac:dyDescent="0.2">
      <c r="A123">
        <v>332</v>
      </c>
      <c r="B123">
        <v>40</v>
      </c>
      <c r="C123">
        <v>583.33333333333337</v>
      </c>
      <c r="D123">
        <v>416.66666666666669</v>
      </c>
      <c r="E123">
        <v>583.33333333333337</v>
      </c>
      <c r="F123">
        <f t="shared" si="6"/>
        <v>1000</v>
      </c>
      <c r="G123">
        <f t="shared" si="6"/>
        <v>1000</v>
      </c>
      <c r="H123">
        <v>1583.333333333333</v>
      </c>
      <c r="I123">
        <v>0.43750000000000011</v>
      </c>
      <c r="J123">
        <v>0.31250000000000011</v>
      </c>
      <c r="K123">
        <v>0.43750000000000011</v>
      </c>
      <c r="L123">
        <f t="shared" si="7"/>
        <v>0.75</v>
      </c>
      <c r="M123">
        <f t="shared" si="7"/>
        <v>0.75</v>
      </c>
      <c r="N123">
        <v>1.1875</v>
      </c>
      <c r="O123">
        <v>0</v>
      </c>
      <c r="P123">
        <v>55.2</v>
      </c>
      <c r="Q123">
        <v>22.8</v>
      </c>
      <c r="R123">
        <v>98.399999999999991</v>
      </c>
      <c r="S123">
        <v>0.26999999999987068</v>
      </c>
      <c r="T123">
        <v>1.829999999999927</v>
      </c>
      <c r="U123">
        <v>13.77000000000003</v>
      </c>
      <c r="V123">
        <v>9.6300000000000079</v>
      </c>
      <c r="W123">
        <v>25.499999999999758</v>
      </c>
      <c r="X123">
        <v>142.5</v>
      </c>
      <c r="Y123">
        <v>167.9999999999998</v>
      </c>
      <c r="Z123">
        <v>180</v>
      </c>
      <c r="AA123">
        <v>0</v>
      </c>
      <c r="AB123">
        <v>2.7</v>
      </c>
      <c r="AC123">
        <v>27.54000000000006</v>
      </c>
      <c r="AD123">
        <v>19.260000000000019</v>
      </c>
      <c r="AE123">
        <v>0.53999999999974135</v>
      </c>
      <c r="AF123">
        <v>0.95999999999985453</v>
      </c>
      <c r="AG123">
        <v>0</v>
      </c>
      <c r="AH123">
        <v>0</v>
      </c>
    </row>
    <row r="124" spans="1:34" x14ac:dyDescent="0.2">
      <c r="A124">
        <v>332</v>
      </c>
      <c r="B124">
        <v>37.5</v>
      </c>
      <c r="C124">
        <v>583.33333333333337</v>
      </c>
      <c r="D124">
        <v>416.66666666666669</v>
      </c>
      <c r="E124">
        <v>583.33333333333337</v>
      </c>
      <c r="F124">
        <f t="shared" si="6"/>
        <v>1000</v>
      </c>
      <c r="G124">
        <f t="shared" si="6"/>
        <v>1000</v>
      </c>
      <c r="H124">
        <v>1583.333333333333</v>
      </c>
      <c r="I124">
        <v>0.46666666666666667</v>
      </c>
      <c r="J124">
        <v>0.33333333333333343</v>
      </c>
      <c r="K124">
        <v>0.46666666666666667</v>
      </c>
      <c r="L124">
        <f t="shared" si="7"/>
        <v>0.8</v>
      </c>
      <c r="M124">
        <f t="shared" si="7"/>
        <v>0.8</v>
      </c>
      <c r="N124">
        <v>1.2666666666666671</v>
      </c>
      <c r="O124">
        <v>0</v>
      </c>
      <c r="P124">
        <v>58.8</v>
      </c>
      <c r="Q124">
        <v>20.399999999999999</v>
      </c>
      <c r="R124">
        <v>70.8</v>
      </c>
      <c r="S124">
        <v>1.8000000000000811</v>
      </c>
      <c r="T124">
        <v>1.4</v>
      </c>
      <c r="U124">
        <v>23.119999999999951</v>
      </c>
      <c r="V124">
        <v>1.6799999999998061</v>
      </c>
      <c r="W124">
        <v>27.999999999999801</v>
      </c>
      <c r="X124">
        <v>152</v>
      </c>
      <c r="Y124">
        <v>179.9999999999998</v>
      </c>
      <c r="Z124">
        <v>180</v>
      </c>
      <c r="AA124">
        <v>0</v>
      </c>
      <c r="AB124">
        <v>2.8</v>
      </c>
      <c r="AC124">
        <v>32.640000000000057</v>
      </c>
      <c r="AD124">
        <v>3.3599999999996122</v>
      </c>
      <c r="AE124">
        <v>3.6000000000001622</v>
      </c>
      <c r="AF124">
        <v>0</v>
      </c>
      <c r="AG124">
        <v>13.59999999999984</v>
      </c>
      <c r="AH124">
        <v>0</v>
      </c>
    </row>
    <row r="125" spans="1:34" x14ac:dyDescent="0.2">
      <c r="A125">
        <v>332</v>
      </c>
      <c r="B125">
        <v>35</v>
      </c>
      <c r="C125">
        <v>583.33333333333337</v>
      </c>
      <c r="D125">
        <v>416.66666666666669</v>
      </c>
      <c r="E125">
        <v>583.33333333333337</v>
      </c>
      <c r="F125">
        <f t="shared" si="6"/>
        <v>1000</v>
      </c>
      <c r="G125">
        <f t="shared" si="6"/>
        <v>1000</v>
      </c>
      <c r="H125">
        <v>1583.333333333333</v>
      </c>
      <c r="I125">
        <v>0.5</v>
      </c>
      <c r="J125">
        <v>0.35714285714285721</v>
      </c>
      <c r="K125">
        <v>0.5</v>
      </c>
      <c r="L125">
        <f t="shared" si="7"/>
        <v>0.8571428571428571</v>
      </c>
      <c r="M125">
        <f t="shared" si="7"/>
        <v>0.8571428571428571</v>
      </c>
      <c r="N125">
        <v>1.357142857142857</v>
      </c>
      <c r="O125">
        <v>0</v>
      </c>
      <c r="P125">
        <v>48</v>
      </c>
      <c r="Q125">
        <v>4.8</v>
      </c>
      <c r="R125">
        <v>64.8</v>
      </c>
      <c r="S125">
        <v>6.0000000000000409</v>
      </c>
      <c r="T125">
        <v>0.17142857142854259</v>
      </c>
      <c r="U125">
        <v>10.9714285714285</v>
      </c>
      <c r="V125">
        <v>0</v>
      </c>
      <c r="W125">
        <v>17.142857142856968</v>
      </c>
      <c r="X125">
        <v>162.85714285714289</v>
      </c>
      <c r="Y125">
        <v>179.9999999999998</v>
      </c>
      <c r="Z125">
        <v>180</v>
      </c>
      <c r="AA125">
        <v>0</v>
      </c>
      <c r="AB125">
        <v>0</v>
      </c>
      <c r="AC125">
        <v>21.942857142857001</v>
      </c>
      <c r="AD125">
        <v>0</v>
      </c>
      <c r="AE125">
        <v>12.00000000000008</v>
      </c>
      <c r="AF125">
        <v>0.34285714285708507</v>
      </c>
      <c r="AG125">
        <v>0</v>
      </c>
      <c r="AH125">
        <v>0</v>
      </c>
    </row>
    <row r="126" spans="1:34" x14ac:dyDescent="0.2">
      <c r="A126">
        <v>332</v>
      </c>
      <c r="B126">
        <v>32.5</v>
      </c>
      <c r="C126">
        <v>583.33333333333337</v>
      </c>
      <c r="D126">
        <v>416.66666666666669</v>
      </c>
      <c r="E126">
        <v>583.33333333333337</v>
      </c>
      <c r="F126">
        <f t="shared" si="6"/>
        <v>1000</v>
      </c>
      <c r="G126">
        <f t="shared" si="6"/>
        <v>1000</v>
      </c>
      <c r="H126">
        <v>1583.333333333333</v>
      </c>
      <c r="I126">
        <v>0.53846153846153855</v>
      </c>
      <c r="J126">
        <v>0.38461538461538458</v>
      </c>
      <c r="K126">
        <v>0.53846153846153855</v>
      </c>
      <c r="L126">
        <f t="shared" si="7"/>
        <v>0.92307692307692313</v>
      </c>
      <c r="M126">
        <f t="shared" si="7"/>
        <v>0.92307692307692313</v>
      </c>
      <c r="N126">
        <v>1.4615384615384619</v>
      </c>
      <c r="O126">
        <v>0</v>
      </c>
      <c r="P126">
        <v>52.8</v>
      </c>
      <c r="Q126">
        <v>97.2</v>
      </c>
      <c r="R126">
        <v>56.4</v>
      </c>
      <c r="S126">
        <v>1.2923076923077641</v>
      </c>
      <c r="T126">
        <v>2.8153846153846338</v>
      </c>
      <c r="U126">
        <v>0</v>
      </c>
      <c r="V126">
        <v>0.5076923076923574</v>
      </c>
      <c r="W126">
        <v>4.6153846153845848</v>
      </c>
      <c r="X126">
        <v>175.38461538461539</v>
      </c>
      <c r="Y126">
        <v>180</v>
      </c>
      <c r="Z126">
        <v>180</v>
      </c>
      <c r="AA126">
        <v>0</v>
      </c>
      <c r="AB126">
        <v>0</v>
      </c>
      <c r="AC126">
        <v>0</v>
      </c>
      <c r="AD126">
        <v>1.015384615384715</v>
      </c>
      <c r="AE126">
        <v>2.5846153846155282</v>
      </c>
      <c r="AF126">
        <v>5.6307692307692676</v>
      </c>
      <c r="AG126">
        <v>0</v>
      </c>
      <c r="AH126">
        <v>0</v>
      </c>
    </row>
    <row r="127" spans="1:34" x14ac:dyDescent="0.2">
      <c r="A127">
        <v>332</v>
      </c>
      <c r="B127">
        <v>30</v>
      </c>
      <c r="C127">
        <v>583.33333333333337</v>
      </c>
      <c r="D127">
        <v>416.66666666666669</v>
      </c>
      <c r="E127">
        <v>583.33333333333337</v>
      </c>
      <c r="F127">
        <f t="shared" si="6"/>
        <v>1000</v>
      </c>
      <c r="G127">
        <f t="shared" si="6"/>
        <v>1000</v>
      </c>
      <c r="H127">
        <v>1583.333333333333</v>
      </c>
      <c r="I127">
        <v>0.58333333333333337</v>
      </c>
      <c r="J127">
        <v>0.41666666666666669</v>
      </c>
      <c r="K127">
        <v>0.58333333333333337</v>
      </c>
      <c r="L127">
        <f t="shared" si="7"/>
        <v>1</v>
      </c>
      <c r="M127">
        <f t="shared" si="7"/>
        <v>1</v>
      </c>
      <c r="N127">
        <v>1.583333333333333</v>
      </c>
      <c r="O127">
        <v>0</v>
      </c>
      <c r="P127">
        <v>40.799999999999997</v>
      </c>
      <c r="Q127">
        <v>96</v>
      </c>
      <c r="R127">
        <v>52.8</v>
      </c>
      <c r="S127">
        <v>0.21466666666654219</v>
      </c>
      <c r="T127">
        <v>7.2253333333331993</v>
      </c>
      <c r="U127">
        <v>1.585333333333296</v>
      </c>
      <c r="V127">
        <v>0.97466666666667956</v>
      </c>
      <c r="W127">
        <v>9.9999999999998295</v>
      </c>
      <c r="X127">
        <v>190</v>
      </c>
      <c r="Y127">
        <v>199.9999999999998</v>
      </c>
      <c r="Z127">
        <v>180</v>
      </c>
      <c r="AA127">
        <v>0</v>
      </c>
      <c r="AB127">
        <v>13.759999999999939</v>
      </c>
      <c r="AC127">
        <v>1.4906666666666251</v>
      </c>
      <c r="AD127">
        <v>1.9493333333333589</v>
      </c>
      <c r="AE127">
        <v>0.42933333333308432</v>
      </c>
      <c r="AF127">
        <v>0.69066666666646293</v>
      </c>
      <c r="AG127">
        <v>1.679999999999968</v>
      </c>
      <c r="AH127">
        <v>0</v>
      </c>
    </row>
    <row r="128" spans="1:34" x14ac:dyDescent="0.2">
      <c r="A128">
        <v>332</v>
      </c>
      <c r="B128">
        <v>27.5</v>
      </c>
      <c r="C128">
        <v>583.33333333333337</v>
      </c>
      <c r="D128">
        <v>416.66666666666669</v>
      </c>
      <c r="E128">
        <v>583.33333333333337</v>
      </c>
      <c r="F128">
        <f t="shared" si="6"/>
        <v>1000</v>
      </c>
      <c r="G128">
        <f t="shared" si="6"/>
        <v>1000</v>
      </c>
      <c r="H128">
        <v>1583.333333333333</v>
      </c>
      <c r="I128">
        <v>0.63636363636363646</v>
      </c>
      <c r="J128">
        <v>0.45454545454545459</v>
      </c>
      <c r="K128">
        <v>0.63636363636363646</v>
      </c>
      <c r="L128">
        <f t="shared" si="7"/>
        <v>1.0909090909090911</v>
      </c>
      <c r="M128">
        <f t="shared" si="7"/>
        <v>1.0909090909090911</v>
      </c>
      <c r="N128">
        <v>1.727272727272728</v>
      </c>
      <c r="O128">
        <v>0</v>
      </c>
      <c r="P128">
        <v>32.4</v>
      </c>
      <c r="Q128">
        <v>85.2</v>
      </c>
      <c r="R128">
        <v>40.799999999999997</v>
      </c>
      <c r="S128">
        <v>0.80747107437996923</v>
      </c>
      <c r="T128">
        <v>13.62525619834709</v>
      </c>
      <c r="U128">
        <v>2.3890909090908989</v>
      </c>
      <c r="V128">
        <v>10.450909090909089</v>
      </c>
      <c r="W128">
        <v>27.272727272726978</v>
      </c>
      <c r="X128">
        <v>207.27272727272731</v>
      </c>
      <c r="Y128">
        <v>234.54545454545431</v>
      </c>
      <c r="Z128">
        <v>180</v>
      </c>
      <c r="AA128">
        <v>0</v>
      </c>
      <c r="AB128">
        <v>25.570909090908959</v>
      </c>
      <c r="AC128">
        <v>0</v>
      </c>
      <c r="AD128">
        <v>20.901818181818172</v>
      </c>
      <c r="AE128">
        <v>1.614942148759938</v>
      </c>
      <c r="AF128">
        <v>1.679603305785228</v>
      </c>
      <c r="AG128">
        <v>4.7781818181817979</v>
      </c>
      <c r="AH128">
        <v>0</v>
      </c>
    </row>
    <row r="129" spans="1:34" x14ac:dyDescent="0.2">
      <c r="A129">
        <v>332</v>
      </c>
      <c r="B129">
        <v>25</v>
      </c>
      <c r="C129">
        <v>583.33333333333337</v>
      </c>
      <c r="D129">
        <v>416.66666666666669</v>
      </c>
      <c r="E129">
        <v>583.33333333333337</v>
      </c>
      <c r="F129">
        <f t="shared" si="6"/>
        <v>1000</v>
      </c>
      <c r="G129">
        <f t="shared" si="6"/>
        <v>1000</v>
      </c>
      <c r="H129">
        <v>1583.333333333333</v>
      </c>
      <c r="I129">
        <v>0.70000000000000007</v>
      </c>
      <c r="J129">
        <v>0.5</v>
      </c>
      <c r="K129">
        <v>0.70000000000000007</v>
      </c>
      <c r="L129">
        <f t="shared" si="7"/>
        <v>1.2</v>
      </c>
      <c r="M129">
        <f t="shared" si="7"/>
        <v>1.2</v>
      </c>
      <c r="N129">
        <v>1.9</v>
      </c>
      <c r="O129">
        <v>0</v>
      </c>
      <c r="P129">
        <v>70.8</v>
      </c>
      <c r="Q129">
        <v>21.6</v>
      </c>
      <c r="R129">
        <v>106.8</v>
      </c>
      <c r="S129">
        <v>16.2</v>
      </c>
      <c r="T129">
        <v>12.11999999999999</v>
      </c>
      <c r="U129">
        <v>7.6679999999999078</v>
      </c>
      <c r="V129">
        <v>1.199999999969603E-2</v>
      </c>
      <c r="W129">
        <v>35.999999999999432</v>
      </c>
      <c r="X129">
        <v>228</v>
      </c>
      <c r="Y129">
        <v>263.99999999999937</v>
      </c>
      <c r="Z129">
        <v>180</v>
      </c>
      <c r="AA129">
        <v>0</v>
      </c>
      <c r="AB129">
        <v>0.95999999999993535</v>
      </c>
      <c r="AC129">
        <v>0.21599999999994501</v>
      </c>
      <c r="AD129">
        <v>2.3999999999392049E-2</v>
      </c>
      <c r="AE129">
        <v>32.4</v>
      </c>
      <c r="AF129">
        <v>23.280000000000051</v>
      </c>
      <c r="AG129">
        <v>15.11999999999987</v>
      </c>
      <c r="AH129">
        <v>0</v>
      </c>
    </row>
    <row r="130" spans="1:34" x14ac:dyDescent="0.2">
      <c r="A130">
        <v>332</v>
      </c>
      <c r="B130">
        <v>22.5</v>
      </c>
      <c r="C130">
        <v>583.33333333333337</v>
      </c>
      <c r="D130">
        <v>416.66666666666669</v>
      </c>
      <c r="E130">
        <v>583.33333333333337</v>
      </c>
      <c r="F130">
        <f t="shared" ref="F130:G157" si="8">C130+D130</f>
        <v>1000</v>
      </c>
      <c r="G130">
        <f t="shared" si="8"/>
        <v>1000</v>
      </c>
      <c r="H130">
        <v>1583.333333333333</v>
      </c>
      <c r="I130">
        <v>0.77777777777777779</v>
      </c>
      <c r="J130">
        <v>0.55555555555555558</v>
      </c>
      <c r="K130">
        <v>0.77777777777777779</v>
      </c>
      <c r="L130">
        <f t="shared" ref="L130:M157" si="9">F130/(120*$B130*1000/3600)</f>
        <v>1.3333333333333333</v>
      </c>
      <c r="M130">
        <f t="shared" si="9"/>
        <v>1.3333333333333333</v>
      </c>
      <c r="N130">
        <v>2.1111111111111112</v>
      </c>
      <c r="O130">
        <v>0</v>
      </c>
      <c r="P130">
        <v>32.4</v>
      </c>
      <c r="Q130">
        <v>64.8</v>
      </c>
      <c r="R130">
        <v>109.2</v>
      </c>
      <c r="S130">
        <v>2.8666666666668279</v>
      </c>
      <c r="T130">
        <v>21.173333333333201</v>
      </c>
      <c r="U130">
        <v>2.2871111111111131</v>
      </c>
      <c r="V130">
        <v>15.006222222222281</v>
      </c>
      <c r="W130">
        <v>41.333333333332916</v>
      </c>
      <c r="X130">
        <v>253.33333333333329</v>
      </c>
      <c r="Y130">
        <v>294.66666666666629</v>
      </c>
      <c r="Z130">
        <v>180</v>
      </c>
      <c r="AA130">
        <v>0</v>
      </c>
      <c r="AB130">
        <v>39.146666666666547</v>
      </c>
      <c r="AC130">
        <v>4.5742222222222253</v>
      </c>
      <c r="AD130">
        <v>30.012444444444551</v>
      </c>
      <c r="AE130">
        <v>5.7333333333336567</v>
      </c>
      <c r="AF130">
        <v>3.199999999999839</v>
      </c>
      <c r="AG130">
        <v>0</v>
      </c>
      <c r="AH130">
        <v>0</v>
      </c>
    </row>
    <row r="131" spans="1:34" x14ac:dyDescent="0.2">
      <c r="A131">
        <v>332</v>
      </c>
      <c r="B131">
        <v>20</v>
      </c>
      <c r="C131">
        <v>583.33333333333337</v>
      </c>
      <c r="D131">
        <v>416.66666666666669</v>
      </c>
      <c r="E131">
        <v>583.33333333333337</v>
      </c>
      <c r="F131">
        <f t="shared" si="8"/>
        <v>1000</v>
      </c>
      <c r="G131">
        <f t="shared" si="8"/>
        <v>1000</v>
      </c>
      <c r="H131">
        <v>1583.333333333333</v>
      </c>
      <c r="I131">
        <v>0.87500000000000011</v>
      </c>
      <c r="J131">
        <v>0.62500000000000011</v>
      </c>
      <c r="K131">
        <v>0.87500000000000011</v>
      </c>
      <c r="L131">
        <f t="shared" si="9"/>
        <v>1.5</v>
      </c>
      <c r="M131">
        <f t="shared" si="9"/>
        <v>1.5</v>
      </c>
      <c r="N131">
        <v>2.375</v>
      </c>
      <c r="O131">
        <v>0</v>
      </c>
      <c r="P131">
        <v>4.8</v>
      </c>
      <c r="Q131">
        <v>56.4</v>
      </c>
      <c r="R131">
        <v>64.8</v>
      </c>
      <c r="S131">
        <v>1.8000000000000811</v>
      </c>
      <c r="T131">
        <v>9.8999999999999186</v>
      </c>
      <c r="U131">
        <v>3.3</v>
      </c>
      <c r="V131">
        <v>-1.6168794698185389E-13</v>
      </c>
      <c r="W131">
        <v>14.999999999999741</v>
      </c>
      <c r="X131">
        <v>285</v>
      </c>
      <c r="Y131">
        <v>299.99999999999977</v>
      </c>
      <c r="Z131">
        <v>180</v>
      </c>
      <c r="AA131">
        <v>0</v>
      </c>
      <c r="AB131">
        <v>19.799999999999841</v>
      </c>
      <c r="AC131">
        <v>0</v>
      </c>
      <c r="AD131">
        <v>-3.2337589396370778E-13</v>
      </c>
      <c r="AE131">
        <v>3.6000000000001622</v>
      </c>
      <c r="AF131">
        <v>0</v>
      </c>
      <c r="AG131">
        <v>6.6</v>
      </c>
      <c r="AH131">
        <v>0</v>
      </c>
    </row>
    <row r="132" spans="1:34" x14ac:dyDescent="0.2">
      <c r="A132">
        <v>333</v>
      </c>
      <c r="B132">
        <v>50</v>
      </c>
      <c r="C132">
        <v>750</v>
      </c>
      <c r="D132">
        <v>416.66666666666669</v>
      </c>
      <c r="E132">
        <v>750</v>
      </c>
      <c r="F132">
        <f t="shared" si="8"/>
        <v>1166.6666666666667</v>
      </c>
      <c r="G132">
        <f t="shared" si="8"/>
        <v>1166.6666666666667</v>
      </c>
      <c r="H132">
        <v>1916.666666666667</v>
      </c>
      <c r="I132">
        <v>0.45</v>
      </c>
      <c r="J132">
        <v>0.25</v>
      </c>
      <c r="K132">
        <v>0.45</v>
      </c>
      <c r="L132">
        <f t="shared" si="9"/>
        <v>0.70000000000000007</v>
      </c>
      <c r="M132">
        <f t="shared" si="9"/>
        <v>0.70000000000000007</v>
      </c>
      <c r="N132">
        <v>1.1499999999999999</v>
      </c>
      <c r="O132">
        <v>0</v>
      </c>
      <c r="P132">
        <v>54</v>
      </c>
      <c r="Q132">
        <v>25.2</v>
      </c>
      <c r="R132">
        <v>103.2</v>
      </c>
      <c r="S132">
        <v>0.11999999999995151</v>
      </c>
      <c r="T132">
        <v>0.47999999999996767</v>
      </c>
      <c r="U132">
        <v>10.43999999999998</v>
      </c>
      <c r="V132">
        <v>6.959999999999976</v>
      </c>
      <c r="W132">
        <v>17.999999999999929</v>
      </c>
      <c r="X132">
        <v>138</v>
      </c>
      <c r="Y132">
        <v>155.99999999999989</v>
      </c>
      <c r="Z132">
        <v>180</v>
      </c>
      <c r="AA132">
        <v>0</v>
      </c>
      <c r="AB132">
        <v>0</v>
      </c>
      <c r="AC132">
        <v>20.879999999999971</v>
      </c>
      <c r="AD132">
        <v>13.91999999999995</v>
      </c>
      <c r="AE132">
        <v>0.23999999999990301</v>
      </c>
      <c r="AF132">
        <v>0.95999999999993535</v>
      </c>
      <c r="AG132">
        <v>0</v>
      </c>
      <c r="AH132">
        <v>0</v>
      </c>
    </row>
    <row r="133" spans="1:34" x14ac:dyDescent="0.2">
      <c r="A133">
        <v>333</v>
      </c>
      <c r="B133">
        <v>47.5</v>
      </c>
      <c r="C133">
        <v>750</v>
      </c>
      <c r="D133">
        <v>416.66666666666669</v>
      </c>
      <c r="E133">
        <v>750</v>
      </c>
      <c r="F133">
        <f t="shared" si="8"/>
        <v>1166.6666666666667</v>
      </c>
      <c r="G133">
        <f t="shared" si="8"/>
        <v>1166.6666666666667</v>
      </c>
      <c r="H133">
        <v>1916.666666666667</v>
      </c>
      <c r="I133">
        <v>0.47368421052631582</v>
      </c>
      <c r="J133">
        <v>0.26315789473684209</v>
      </c>
      <c r="K133">
        <v>0.47368421052631582</v>
      </c>
      <c r="L133">
        <f t="shared" si="9"/>
        <v>0.73684210526315796</v>
      </c>
      <c r="M133">
        <f t="shared" si="9"/>
        <v>0.73684210526315796</v>
      </c>
      <c r="N133">
        <v>1.2105263157894739</v>
      </c>
      <c r="O133">
        <v>0</v>
      </c>
      <c r="P133">
        <v>51.6</v>
      </c>
      <c r="Q133">
        <v>16.8</v>
      </c>
      <c r="R133">
        <v>97.2</v>
      </c>
      <c r="S133">
        <v>0.42315789473699023</v>
      </c>
      <c r="T133">
        <v>0.80842105263145636</v>
      </c>
      <c r="U133">
        <v>14.28631578947372</v>
      </c>
      <c r="V133">
        <v>9.7452631578946445</v>
      </c>
      <c r="W133">
        <v>25.263157894736779</v>
      </c>
      <c r="X133">
        <v>145.26315789473679</v>
      </c>
      <c r="Y133">
        <v>170.52631578947361</v>
      </c>
      <c r="Z133">
        <v>180</v>
      </c>
      <c r="AA133">
        <v>0</v>
      </c>
      <c r="AB133">
        <v>0</v>
      </c>
      <c r="AC133">
        <v>28.572631578947441</v>
      </c>
      <c r="AD133">
        <v>19.490526315789289</v>
      </c>
      <c r="AE133">
        <v>0.84631578947398034</v>
      </c>
      <c r="AF133">
        <v>1.6168421052629129</v>
      </c>
      <c r="AG133">
        <v>0</v>
      </c>
      <c r="AH133">
        <v>0</v>
      </c>
    </row>
    <row r="134" spans="1:34" x14ac:dyDescent="0.2">
      <c r="A134">
        <v>333</v>
      </c>
      <c r="B134">
        <v>45</v>
      </c>
      <c r="C134">
        <v>750</v>
      </c>
      <c r="D134">
        <v>416.66666666666669</v>
      </c>
      <c r="E134">
        <v>750</v>
      </c>
      <c r="F134">
        <f t="shared" si="8"/>
        <v>1166.6666666666667</v>
      </c>
      <c r="G134">
        <f t="shared" si="8"/>
        <v>1166.6666666666667</v>
      </c>
      <c r="H134">
        <v>1916.666666666667</v>
      </c>
      <c r="I134">
        <v>0.5</v>
      </c>
      <c r="J134">
        <v>0.27777777777777779</v>
      </c>
      <c r="K134">
        <v>0.5</v>
      </c>
      <c r="L134">
        <f t="shared" si="9"/>
        <v>0.77777777777777779</v>
      </c>
      <c r="M134">
        <f t="shared" si="9"/>
        <v>0.77777777777777779</v>
      </c>
      <c r="N134">
        <v>1.2777777777777779</v>
      </c>
      <c r="O134">
        <v>0</v>
      </c>
      <c r="P134">
        <v>60</v>
      </c>
      <c r="Q134">
        <v>14.4</v>
      </c>
      <c r="R134">
        <v>70.8</v>
      </c>
      <c r="S134">
        <v>0</v>
      </c>
      <c r="T134">
        <v>6.1333333333333337</v>
      </c>
      <c r="U134">
        <v>18.279999999999969</v>
      </c>
      <c r="V134">
        <v>2.253333333333325</v>
      </c>
      <c r="W134">
        <v>26.666666666666369</v>
      </c>
      <c r="X134">
        <v>153.33333333333329</v>
      </c>
      <c r="Y134">
        <v>179.99999999999969</v>
      </c>
      <c r="Z134">
        <v>180</v>
      </c>
      <c r="AA134">
        <v>0</v>
      </c>
      <c r="AB134">
        <v>0</v>
      </c>
      <c r="AC134">
        <v>32.9600000000001</v>
      </c>
      <c r="AD134">
        <v>4.5066666666666508</v>
      </c>
      <c r="AE134">
        <v>0</v>
      </c>
      <c r="AF134">
        <v>12.266666666666669</v>
      </c>
      <c r="AG134">
        <v>3.599999999999838</v>
      </c>
      <c r="AH134">
        <v>0</v>
      </c>
    </row>
    <row r="135" spans="1:34" x14ac:dyDescent="0.2">
      <c r="A135">
        <v>333</v>
      </c>
      <c r="B135">
        <v>42.5</v>
      </c>
      <c r="C135">
        <v>750</v>
      </c>
      <c r="D135">
        <v>416.66666666666669</v>
      </c>
      <c r="E135">
        <v>750</v>
      </c>
      <c r="F135">
        <f t="shared" si="8"/>
        <v>1166.6666666666667</v>
      </c>
      <c r="G135">
        <f t="shared" si="8"/>
        <v>1166.6666666666667</v>
      </c>
      <c r="H135">
        <v>1916.666666666667</v>
      </c>
      <c r="I135">
        <v>0.52941176470588236</v>
      </c>
      <c r="J135">
        <v>0.29411764705882348</v>
      </c>
      <c r="K135">
        <v>0.52941176470588236</v>
      </c>
      <c r="L135">
        <f t="shared" si="9"/>
        <v>0.82352941176470584</v>
      </c>
      <c r="M135">
        <f t="shared" si="9"/>
        <v>0.82352941176470584</v>
      </c>
      <c r="N135">
        <v>1.3529411764705881</v>
      </c>
      <c r="O135">
        <v>0</v>
      </c>
      <c r="P135">
        <v>51.6</v>
      </c>
      <c r="Q135">
        <v>0</v>
      </c>
      <c r="R135">
        <v>63.599999999999987</v>
      </c>
      <c r="S135">
        <v>2.435294117647087</v>
      </c>
      <c r="T135">
        <v>4.5882352941176379</v>
      </c>
      <c r="U135">
        <v>10.58823529411772</v>
      </c>
      <c r="V135">
        <v>3.5294117647087363E-2</v>
      </c>
      <c r="W135">
        <v>17.647058823529392</v>
      </c>
      <c r="X135">
        <v>162.35294117647061</v>
      </c>
      <c r="Y135">
        <v>180</v>
      </c>
      <c r="Z135">
        <v>180</v>
      </c>
      <c r="AA135">
        <v>0</v>
      </c>
      <c r="AB135">
        <v>0</v>
      </c>
      <c r="AC135">
        <v>21.176470588235439</v>
      </c>
      <c r="AD135">
        <v>7.0588235294174712E-2</v>
      </c>
      <c r="AE135">
        <v>4.870588235294175</v>
      </c>
      <c r="AF135">
        <v>9.1764705882352757</v>
      </c>
      <c r="AG135">
        <v>0</v>
      </c>
      <c r="AH135">
        <v>0</v>
      </c>
    </row>
    <row r="136" spans="1:34" x14ac:dyDescent="0.2">
      <c r="A136">
        <v>333</v>
      </c>
      <c r="B136">
        <v>40</v>
      </c>
      <c r="C136">
        <v>750</v>
      </c>
      <c r="D136">
        <v>416.66666666666669</v>
      </c>
      <c r="E136">
        <v>750</v>
      </c>
      <c r="F136">
        <f t="shared" si="8"/>
        <v>1166.6666666666667</v>
      </c>
      <c r="G136">
        <f t="shared" si="8"/>
        <v>1166.6666666666667</v>
      </c>
      <c r="H136">
        <v>1916.666666666667</v>
      </c>
      <c r="I136">
        <v>0.5625</v>
      </c>
      <c r="J136">
        <v>0.31250000000000011</v>
      </c>
      <c r="K136">
        <v>0.5625</v>
      </c>
      <c r="L136">
        <f t="shared" si="9"/>
        <v>0.87500000000000011</v>
      </c>
      <c r="M136">
        <f t="shared" si="9"/>
        <v>0.87500000000000011</v>
      </c>
      <c r="N136">
        <v>1.4375</v>
      </c>
      <c r="O136">
        <v>0</v>
      </c>
      <c r="P136">
        <v>52.8</v>
      </c>
      <c r="Q136">
        <v>94.8</v>
      </c>
      <c r="R136">
        <v>50.4</v>
      </c>
      <c r="S136">
        <v>0.14999999999991909</v>
      </c>
      <c r="T136">
        <v>9.7799999999999674</v>
      </c>
      <c r="U136">
        <v>0.1012499999999515</v>
      </c>
      <c r="V136">
        <v>0.46874999999995959</v>
      </c>
      <c r="W136">
        <v>10.499999999999799</v>
      </c>
      <c r="X136">
        <v>172.5</v>
      </c>
      <c r="Y136">
        <v>182.9999999999998</v>
      </c>
      <c r="Z136">
        <v>180</v>
      </c>
      <c r="AA136">
        <v>0</v>
      </c>
      <c r="AB136">
        <v>2.1599999999999349</v>
      </c>
      <c r="AC136">
        <v>0.20249999999990301</v>
      </c>
      <c r="AD136">
        <v>0.93749999999991918</v>
      </c>
      <c r="AE136">
        <v>0.29999999999983828</v>
      </c>
      <c r="AF136">
        <v>17.399999999999999</v>
      </c>
      <c r="AG136">
        <v>0</v>
      </c>
      <c r="AH136">
        <v>0</v>
      </c>
    </row>
    <row r="137" spans="1:34" x14ac:dyDescent="0.2">
      <c r="A137">
        <v>333</v>
      </c>
      <c r="B137">
        <v>37.5</v>
      </c>
      <c r="C137">
        <v>750</v>
      </c>
      <c r="D137">
        <v>416.66666666666669</v>
      </c>
      <c r="E137">
        <v>750</v>
      </c>
      <c r="F137">
        <f t="shared" si="8"/>
        <v>1166.6666666666667</v>
      </c>
      <c r="G137">
        <f t="shared" si="8"/>
        <v>1166.6666666666667</v>
      </c>
      <c r="H137">
        <v>1916.666666666667</v>
      </c>
      <c r="I137">
        <v>0.6</v>
      </c>
      <c r="J137">
        <v>0.33333333333333343</v>
      </c>
      <c r="K137">
        <v>0.6</v>
      </c>
      <c r="L137">
        <f t="shared" si="9"/>
        <v>0.93333333333333335</v>
      </c>
      <c r="M137">
        <f t="shared" si="9"/>
        <v>0.93333333333333335</v>
      </c>
      <c r="N137">
        <v>1.533333333333333</v>
      </c>
      <c r="O137">
        <v>0</v>
      </c>
      <c r="P137">
        <v>48</v>
      </c>
      <c r="Q137">
        <v>100.8</v>
      </c>
      <c r="R137">
        <v>52.8</v>
      </c>
      <c r="S137">
        <v>0</v>
      </c>
      <c r="T137">
        <v>6.4</v>
      </c>
      <c r="U137">
        <v>1.599999999999919</v>
      </c>
      <c r="V137">
        <v>0</v>
      </c>
      <c r="W137">
        <v>7.999999999999801</v>
      </c>
      <c r="X137">
        <v>184</v>
      </c>
      <c r="Y137">
        <v>191.9999999999998</v>
      </c>
      <c r="Z137">
        <v>180</v>
      </c>
      <c r="AA137">
        <v>0</v>
      </c>
      <c r="AB137">
        <v>9.6</v>
      </c>
      <c r="AC137">
        <v>3.199999999999839</v>
      </c>
      <c r="AD137">
        <v>0</v>
      </c>
      <c r="AE137">
        <v>0</v>
      </c>
      <c r="AF137">
        <v>3.2</v>
      </c>
      <c r="AG137">
        <v>0</v>
      </c>
      <c r="AH137">
        <v>0</v>
      </c>
    </row>
    <row r="138" spans="1:34" x14ac:dyDescent="0.2">
      <c r="A138">
        <v>333</v>
      </c>
      <c r="B138">
        <v>35</v>
      </c>
      <c r="C138">
        <v>750</v>
      </c>
      <c r="D138">
        <v>416.66666666666669</v>
      </c>
      <c r="E138">
        <v>750</v>
      </c>
      <c r="F138">
        <f t="shared" si="8"/>
        <v>1166.6666666666667</v>
      </c>
      <c r="G138">
        <f t="shared" si="8"/>
        <v>1166.6666666666667</v>
      </c>
      <c r="H138">
        <v>1916.666666666667</v>
      </c>
      <c r="I138">
        <v>0.64285714285714279</v>
      </c>
      <c r="J138">
        <v>0.35714285714285721</v>
      </c>
      <c r="K138">
        <v>0.64285714285714279</v>
      </c>
      <c r="L138">
        <f t="shared" si="9"/>
        <v>1</v>
      </c>
      <c r="M138">
        <f t="shared" si="9"/>
        <v>1</v>
      </c>
      <c r="N138">
        <v>1.642857142857143</v>
      </c>
      <c r="O138">
        <v>0</v>
      </c>
      <c r="P138">
        <v>43.2</v>
      </c>
      <c r="Q138">
        <v>97.2</v>
      </c>
      <c r="R138">
        <v>55.2</v>
      </c>
      <c r="S138">
        <v>0.67959183673479451</v>
      </c>
      <c r="T138">
        <v>10.92612244897945</v>
      </c>
      <c r="U138">
        <v>5.3804081632653444</v>
      </c>
      <c r="V138">
        <v>0.15673469387721631</v>
      </c>
      <c r="W138">
        <v>17.142857142856709</v>
      </c>
      <c r="X138">
        <v>197.1428571428572</v>
      </c>
      <c r="Y138">
        <v>214.28571428571391</v>
      </c>
      <c r="Z138">
        <v>180</v>
      </c>
      <c r="AA138">
        <v>0</v>
      </c>
      <c r="AB138">
        <v>17.554285714285569</v>
      </c>
      <c r="AC138">
        <v>4.0751020408164349</v>
      </c>
      <c r="AD138">
        <v>0.3134693877544325</v>
      </c>
      <c r="AE138">
        <v>1.359183673469589</v>
      </c>
      <c r="AF138">
        <v>4.297959183673326</v>
      </c>
      <c r="AG138">
        <v>6.6857142857142513</v>
      </c>
      <c r="AH138">
        <v>0</v>
      </c>
    </row>
    <row r="139" spans="1:34" x14ac:dyDescent="0.2">
      <c r="A139">
        <v>333</v>
      </c>
      <c r="B139">
        <v>32.5</v>
      </c>
      <c r="C139">
        <v>750</v>
      </c>
      <c r="D139">
        <v>416.66666666666669</v>
      </c>
      <c r="E139">
        <v>750</v>
      </c>
      <c r="F139">
        <f t="shared" si="8"/>
        <v>1166.6666666666667</v>
      </c>
      <c r="G139">
        <f t="shared" si="8"/>
        <v>1166.6666666666667</v>
      </c>
      <c r="H139">
        <v>1916.666666666667</v>
      </c>
      <c r="I139">
        <v>0.6923076923076924</v>
      </c>
      <c r="J139">
        <v>0.38461538461538458</v>
      </c>
      <c r="K139">
        <v>0.6923076923076924</v>
      </c>
      <c r="L139">
        <f t="shared" si="9"/>
        <v>1.0769230769230771</v>
      </c>
      <c r="M139">
        <f t="shared" si="9"/>
        <v>1.0769230769230771</v>
      </c>
      <c r="N139">
        <v>1.7692307692307701</v>
      </c>
      <c r="O139">
        <v>0</v>
      </c>
      <c r="P139">
        <v>72</v>
      </c>
      <c r="Q139">
        <v>8.4</v>
      </c>
      <c r="R139">
        <v>93.6</v>
      </c>
      <c r="S139">
        <v>16.23358579881678</v>
      </c>
      <c r="T139">
        <v>3.529491124260312</v>
      </c>
      <c r="U139">
        <v>7.2830769230769272</v>
      </c>
      <c r="V139">
        <v>0.64615384615382132</v>
      </c>
      <c r="W139">
        <v>27.692307692307651</v>
      </c>
      <c r="X139">
        <v>212.30769230769229</v>
      </c>
      <c r="Y139">
        <v>240</v>
      </c>
      <c r="Z139">
        <v>180</v>
      </c>
      <c r="AA139">
        <v>0</v>
      </c>
      <c r="AB139">
        <v>0</v>
      </c>
      <c r="AC139">
        <v>0</v>
      </c>
      <c r="AD139">
        <v>1.2923076923076431</v>
      </c>
      <c r="AE139">
        <v>32.467171597633573</v>
      </c>
      <c r="AF139">
        <v>7.0589822485206239</v>
      </c>
      <c r="AG139">
        <v>14.566153846153849</v>
      </c>
      <c r="AH139">
        <v>0</v>
      </c>
    </row>
    <row r="140" spans="1:34" x14ac:dyDescent="0.2">
      <c r="A140">
        <v>333</v>
      </c>
      <c r="B140">
        <v>30</v>
      </c>
      <c r="C140">
        <v>750</v>
      </c>
      <c r="D140">
        <v>416.66666666666669</v>
      </c>
      <c r="E140">
        <v>750</v>
      </c>
      <c r="F140">
        <f t="shared" si="8"/>
        <v>1166.6666666666667</v>
      </c>
      <c r="G140">
        <f t="shared" si="8"/>
        <v>1166.6666666666667</v>
      </c>
      <c r="H140">
        <v>1916.666666666667</v>
      </c>
      <c r="I140">
        <v>0.75</v>
      </c>
      <c r="J140">
        <v>0.41666666666666669</v>
      </c>
      <c r="K140">
        <v>0.75</v>
      </c>
      <c r="L140">
        <f t="shared" si="9"/>
        <v>1.1666666666666667</v>
      </c>
      <c r="M140">
        <f t="shared" si="9"/>
        <v>1.1666666666666667</v>
      </c>
      <c r="N140">
        <v>1.916666666666667</v>
      </c>
      <c r="O140">
        <v>0</v>
      </c>
      <c r="P140">
        <v>27.6</v>
      </c>
      <c r="Q140">
        <v>76.8</v>
      </c>
      <c r="R140">
        <v>13.2</v>
      </c>
      <c r="S140">
        <v>0.46399999999961838</v>
      </c>
      <c r="T140">
        <v>20.576000000000001</v>
      </c>
      <c r="U140">
        <v>0.71999999999999187</v>
      </c>
      <c r="V140">
        <v>16.239999999999821</v>
      </c>
      <c r="W140">
        <v>37.999999999999488</v>
      </c>
      <c r="X140">
        <v>230</v>
      </c>
      <c r="Y140">
        <v>267.99999999999949</v>
      </c>
      <c r="Z140">
        <v>180</v>
      </c>
      <c r="AA140">
        <v>0</v>
      </c>
      <c r="AB140">
        <v>40.320000000000043</v>
      </c>
      <c r="AC140">
        <v>0</v>
      </c>
      <c r="AD140">
        <v>32.479999999999642</v>
      </c>
      <c r="AE140">
        <v>0.92799999999923688</v>
      </c>
      <c r="AF140">
        <v>0.83199999999997087</v>
      </c>
      <c r="AG140">
        <v>1.439999999999984</v>
      </c>
      <c r="AH140">
        <v>0</v>
      </c>
    </row>
    <row r="141" spans="1:34" x14ac:dyDescent="0.2">
      <c r="A141">
        <v>333</v>
      </c>
      <c r="B141">
        <v>27.5</v>
      </c>
      <c r="C141">
        <v>750</v>
      </c>
      <c r="D141">
        <v>416.66666666666669</v>
      </c>
      <c r="E141">
        <v>750</v>
      </c>
      <c r="F141">
        <f t="shared" si="8"/>
        <v>1166.6666666666667</v>
      </c>
      <c r="G141">
        <f t="shared" si="8"/>
        <v>1166.6666666666667</v>
      </c>
      <c r="H141">
        <v>1916.666666666667</v>
      </c>
      <c r="I141">
        <v>0.81818181818181823</v>
      </c>
      <c r="J141">
        <v>0.45454545454545459</v>
      </c>
      <c r="K141">
        <v>0.81818181818181823</v>
      </c>
      <c r="L141">
        <f t="shared" si="9"/>
        <v>1.2727272727272729</v>
      </c>
      <c r="M141">
        <f t="shared" si="9"/>
        <v>1.2727272727272729</v>
      </c>
      <c r="N141">
        <v>2.0909090909090908</v>
      </c>
      <c r="O141">
        <v>0</v>
      </c>
      <c r="P141">
        <v>99.6</v>
      </c>
      <c r="Q141">
        <v>33.6</v>
      </c>
      <c r="R141">
        <v>2.4</v>
      </c>
      <c r="S141">
        <v>19.46181818181811</v>
      </c>
      <c r="T141">
        <v>5.2254545454543813</v>
      </c>
      <c r="U141">
        <v>12.89454545454549</v>
      </c>
      <c r="V141">
        <v>4.9636363636364376</v>
      </c>
      <c r="W141">
        <v>42.545454545454021</v>
      </c>
      <c r="X141">
        <v>250.90909090909091</v>
      </c>
      <c r="Y141">
        <v>293.45454545454493</v>
      </c>
      <c r="Z141">
        <v>180</v>
      </c>
      <c r="AA141">
        <v>0</v>
      </c>
      <c r="AB141">
        <v>1.418181818181701</v>
      </c>
      <c r="AC141">
        <v>0</v>
      </c>
      <c r="AD141">
        <v>9.9272727272728751</v>
      </c>
      <c r="AE141">
        <v>38.923636363636213</v>
      </c>
      <c r="AF141">
        <v>9.0327272727270618</v>
      </c>
      <c r="AG141">
        <v>25.78909090909098</v>
      </c>
      <c r="AH141">
        <v>0</v>
      </c>
    </row>
    <row r="142" spans="1:34" x14ac:dyDescent="0.2">
      <c r="A142">
        <v>333</v>
      </c>
      <c r="B142">
        <v>25</v>
      </c>
      <c r="C142">
        <v>750</v>
      </c>
      <c r="D142">
        <v>416.66666666666669</v>
      </c>
      <c r="E142">
        <v>750</v>
      </c>
      <c r="F142">
        <f t="shared" si="8"/>
        <v>1166.6666666666667</v>
      </c>
      <c r="G142">
        <f t="shared" si="8"/>
        <v>1166.6666666666667</v>
      </c>
      <c r="H142">
        <v>1916.666666666667</v>
      </c>
      <c r="I142">
        <v>0.89999999999999991</v>
      </c>
      <c r="J142">
        <v>0.5</v>
      </c>
      <c r="K142">
        <v>0.89999999999999991</v>
      </c>
      <c r="L142">
        <f t="shared" si="9"/>
        <v>1.4000000000000001</v>
      </c>
      <c r="M142">
        <f t="shared" si="9"/>
        <v>1.4000000000000001</v>
      </c>
      <c r="N142">
        <v>2.2999999999999998</v>
      </c>
      <c r="O142">
        <v>0</v>
      </c>
      <c r="P142">
        <v>0</v>
      </c>
      <c r="Q142">
        <v>36</v>
      </c>
      <c r="R142">
        <v>48</v>
      </c>
      <c r="S142">
        <v>6</v>
      </c>
      <c r="T142">
        <v>18</v>
      </c>
      <c r="U142">
        <v>0</v>
      </c>
      <c r="V142">
        <v>0</v>
      </c>
      <c r="W142">
        <v>24</v>
      </c>
      <c r="X142">
        <v>276</v>
      </c>
      <c r="Y142">
        <v>300</v>
      </c>
      <c r="Z142">
        <v>180</v>
      </c>
      <c r="AA142">
        <v>0</v>
      </c>
      <c r="AB142">
        <v>12</v>
      </c>
      <c r="AC142">
        <v>0</v>
      </c>
      <c r="AD142">
        <v>0</v>
      </c>
      <c r="AE142">
        <v>12</v>
      </c>
      <c r="AF142">
        <v>24</v>
      </c>
      <c r="AG142">
        <v>0</v>
      </c>
      <c r="AH142">
        <v>0</v>
      </c>
    </row>
    <row r="143" spans="1:34" x14ac:dyDescent="0.2">
      <c r="A143">
        <v>333</v>
      </c>
      <c r="B143">
        <v>22.5</v>
      </c>
      <c r="C143">
        <v>750</v>
      </c>
      <c r="D143">
        <v>416.66666666666669</v>
      </c>
      <c r="E143">
        <v>750</v>
      </c>
      <c r="F143">
        <f t="shared" si="8"/>
        <v>1166.6666666666667</v>
      </c>
      <c r="G143">
        <f t="shared" si="8"/>
        <v>1166.6666666666667</v>
      </c>
      <c r="H143">
        <v>1916.666666666667</v>
      </c>
      <c r="I143">
        <v>1</v>
      </c>
      <c r="J143">
        <v>0.55555555555555558</v>
      </c>
      <c r="K143">
        <v>1</v>
      </c>
      <c r="L143">
        <f t="shared" si="9"/>
        <v>1.5555555555555556</v>
      </c>
      <c r="M143">
        <f t="shared" si="9"/>
        <v>1.5555555555555556</v>
      </c>
      <c r="N143">
        <v>2.5555555555555549</v>
      </c>
      <c r="O143">
        <v>0</v>
      </c>
      <c r="P143">
        <v>0</v>
      </c>
      <c r="Q143">
        <v>34.799999999999997</v>
      </c>
      <c r="R143">
        <v>58.8</v>
      </c>
      <c r="S143">
        <v>2.7333333333330101</v>
      </c>
      <c r="T143">
        <v>0</v>
      </c>
      <c r="U143">
        <v>2.3600000000000159</v>
      </c>
      <c r="V143">
        <v>1.5733333333335191</v>
      </c>
      <c r="W143">
        <v>6.6666666666663454</v>
      </c>
      <c r="X143">
        <v>306.66666666666669</v>
      </c>
      <c r="Y143">
        <v>313.33333333333297</v>
      </c>
      <c r="Z143">
        <v>180</v>
      </c>
      <c r="AA143">
        <v>0</v>
      </c>
      <c r="AB143">
        <v>0</v>
      </c>
      <c r="AC143">
        <v>4.7200000000000326</v>
      </c>
      <c r="AD143">
        <v>3.1466666666670391</v>
      </c>
      <c r="AE143">
        <v>5.4666666666660202</v>
      </c>
      <c r="AF143">
        <v>0</v>
      </c>
      <c r="AG143">
        <v>0</v>
      </c>
      <c r="AH143">
        <v>0</v>
      </c>
    </row>
    <row r="144" spans="1:34" x14ac:dyDescent="0.2">
      <c r="A144">
        <v>333</v>
      </c>
      <c r="B144">
        <v>20</v>
      </c>
      <c r="C144">
        <v>750</v>
      </c>
      <c r="D144">
        <v>416.66666666666669</v>
      </c>
      <c r="E144">
        <v>750</v>
      </c>
      <c r="F144">
        <f t="shared" si="8"/>
        <v>1166.6666666666667</v>
      </c>
      <c r="G144">
        <f t="shared" si="8"/>
        <v>1166.6666666666667</v>
      </c>
      <c r="H144">
        <v>1916.666666666667</v>
      </c>
      <c r="I144">
        <v>1.125</v>
      </c>
      <c r="J144">
        <v>0.62500000000000011</v>
      </c>
      <c r="K144">
        <v>1.125</v>
      </c>
      <c r="L144">
        <f t="shared" si="9"/>
        <v>1.7500000000000002</v>
      </c>
      <c r="M144">
        <f t="shared" si="9"/>
        <v>1.7500000000000002</v>
      </c>
      <c r="N144">
        <v>2.875</v>
      </c>
      <c r="O144">
        <v>0</v>
      </c>
      <c r="P144">
        <v>2.4</v>
      </c>
      <c r="Q144">
        <v>98.399999999999991</v>
      </c>
      <c r="R144">
        <v>117.6</v>
      </c>
      <c r="S144">
        <v>8.5979999999998356</v>
      </c>
      <c r="T144">
        <v>14.682000000000009</v>
      </c>
      <c r="U144">
        <v>7.6199999999999513</v>
      </c>
      <c r="V144">
        <v>2.1</v>
      </c>
      <c r="W144">
        <v>32.99999999999892</v>
      </c>
      <c r="X144">
        <v>345</v>
      </c>
      <c r="Y144">
        <v>377.99999999999892</v>
      </c>
      <c r="Z144">
        <v>180</v>
      </c>
      <c r="AA144">
        <v>0</v>
      </c>
      <c r="AB144">
        <v>0.4800000000000485</v>
      </c>
      <c r="AC144">
        <v>9.1199999999998713</v>
      </c>
      <c r="AD144">
        <v>4.2</v>
      </c>
      <c r="AE144">
        <v>17.195999999999671</v>
      </c>
      <c r="AF144">
        <v>28.883999999999979</v>
      </c>
      <c r="AG144">
        <v>6.1200000000000321</v>
      </c>
      <c r="AH144">
        <v>0</v>
      </c>
    </row>
    <row r="145" spans="1:34" x14ac:dyDescent="0.2">
      <c r="A145">
        <v>334</v>
      </c>
      <c r="B145">
        <v>50</v>
      </c>
      <c r="C145">
        <v>416.66666666666669</v>
      </c>
      <c r="D145">
        <v>416.66666666666669</v>
      </c>
      <c r="E145">
        <v>750</v>
      </c>
      <c r="F145">
        <f t="shared" si="8"/>
        <v>833.33333333333337</v>
      </c>
      <c r="G145">
        <f t="shared" si="8"/>
        <v>1166.6666666666667</v>
      </c>
      <c r="H145">
        <v>1583.333333333333</v>
      </c>
      <c r="I145">
        <v>0.25</v>
      </c>
      <c r="J145">
        <v>0.25</v>
      </c>
      <c r="K145">
        <v>0.45</v>
      </c>
      <c r="L145">
        <f t="shared" si="9"/>
        <v>0.5</v>
      </c>
      <c r="M145">
        <f t="shared" si="9"/>
        <v>0.70000000000000007</v>
      </c>
      <c r="N145">
        <v>0.95</v>
      </c>
      <c r="O145">
        <v>0</v>
      </c>
      <c r="P145">
        <v>33.6</v>
      </c>
      <c r="Q145">
        <v>4.8</v>
      </c>
      <c r="R145">
        <v>82.8</v>
      </c>
      <c r="S145">
        <v>22.319999999999791</v>
      </c>
      <c r="T145">
        <v>2.2799999999999678</v>
      </c>
      <c r="U145">
        <v>10.43999999999998</v>
      </c>
      <c r="V145">
        <v>6.960000000000016</v>
      </c>
      <c r="W145">
        <v>41.999999999999723</v>
      </c>
      <c r="X145">
        <v>114</v>
      </c>
      <c r="Y145">
        <v>155.99999999999969</v>
      </c>
      <c r="Z145">
        <v>180</v>
      </c>
      <c r="AA145">
        <v>0</v>
      </c>
      <c r="AB145">
        <v>3.6</v>
      </c>
      <c r="AC145">
        <v>20.879999999999971</v>
      </c>
      <c r="AD145">
        <v>13.92000000000003</v>
      </c>
      <c r="AE145">
        <v>44.639999999999581</v>
      </c>
      <c r="AF145">
        <v>0.95999999999993535</v>
      </c>
      <c r="AG145">
        <v>0</v>
      </c>
      <c r="AH145">
        <v>0</v>
      </c>
    </row>
    <row r="146" spans="1:34" x14ac:dyDescent="0.2">
      <c r="A146">
        <v>334</v>
      </c>
      <c r="B146">
        <v>47.5</v>
      </c>
      <c r="C146">
        <v>416.66666666666669</v>
      </c>
      <c r="D146">
        <v>416.66666666666669</v>
      </c>
      <c r="E146">
        <v>750</v>
      </c>
      <c r="F146">
        <f t="shared" si="8"/>
        <v>833.33333333333337</v>
      </c>
      <c r="G146">
        <f t="shared" si="8"/>
        <v>1166.6666666666667</v>
      </c>
      <c r="H146">
        <v>1583.333333333333</v>
      </c>
      <c r="I146">
        <v>0.26315789473684209</v>
      </c>
      <c r="J146">
        <v>0.26315789473684209</v>
      </c>
      <c r="K146">
        <v>0.47368421052631582</v>
      </c>
      <c r="L146">
        <f t="shared" si="9"/>
        <v>0.52631578947368429</v>
      </c>
      <c r="M146">
        <f t="shared" si="9"/>
        <v>0.73684210526315796</v>
      </c>
      <c r="N146">
        <v>1</v>
      </c>
      <c r="O146">
        <v>0</v>
      </c>
      <c r="P146">
        <v>34.799999999999997</v>
      </c>
      <c r="Q146">
        <v>0</v>
      </c>
      <c r="R146">
        <v>79.2</v>
      </c>
      <c r="S146">
        <v>20.892631578947562</v>
      </c>
      <c r="T146">
        <v>1.9389473684210521</v>
      </c>
      <c r="U146">
        <v>12.7136842105262</v>
      </c>
      <c r="V146">
        <v>9.2968421052629608</v>
      </c>
      <c r="W146">
        <v>44.842105263157649</v>
      </c>
      <c r="X146">
        <v>120</v>
      </c>
      <c r="Y146">
        <v>164.84210526315761</v>
      </c>
      <c r="Z146">
        <v>180</v>
      </c>
      <c r="AA146">
        <v>0</v>
      </c>
      <c r="AB146">
        <v>3.221052631578964</v>
      </c>
      <c r="AC146">
        <v>25.4273684210524</v>
      </c>
      <c r="AD146">
        <v>18.593684210525922</v>
      </c>
      <c r="AE146">
        <v>41.785263157895123</v>
      </c>
      <c r="AF146">
        <v>0.65684210526313913</v>
      </c>
      <c r="AG146">
        <v>0</v>
      </c>
      <c r="AH146">
        <v>0</v>
      </c>
    </row>
    <row r="147" spans="1:34" x14ac:dyDescent="0.2">
      <c r="A147">
        <v>334</v>
      </c>
      <c r="B147">
        <v>45</v>
      </c>
      <c r="C147">
        <v>416.66666666666669</v>
      </c>
      <c r="D147">
        <v>416.66666666666669</v>
      </c>
      <c r="E147">
        <v>750</v>
      </c>
      <c r="F147">
        <f t="shared" si="8"/>
        <v>833.33333333333337</v>
      </c>
      <c r="G147">
        <f t="shared" si="8"/>
        <v>1166.6666666666667</v>
      </c>
      <c r="H147">
        <v>1583.333333333333</v>
      </c>
      <c r="I147">
        <v>0.27777777777777779</v>
      </c>
      <c r="J147">
        <v>0.27777777777777779</v>
      </c>
      <c r="K147">
        <v>0.5</v>
      </c>
      <c r="L147">
        <f t="shared" si="9"/>
        <v>0.55555555555555558</v>
      </c>
      <c r="M147">
        <f t="shared" si="9"/>
        <v>0.77777777777777779</v>
      </c>
      <c r="N147">
        <v>1.055555555555556</v>
      </c>
      <c r="O147">
        <v>0</v>
      </c>
      <c r="P147">
        <v>116.4</v>
      </c>
      <c r="Q147">
        <v>56.4</v>
      </c>
      <c r="R147">
        <v>116.4</v>
      </c>
      <c r="S147">
        <v>14.866666666666671</v>
      </c>
      <c r="T147">
        <v>23.306666666666651</v>
      </c>
      <c r="U147">
        <v>9.8266666666666023</v>
      </c>
      <c r="V147">
        <v>0</v>
      </c>
      <c r="W147">
        <v>47.999999999999702</v>
      </c>
      <c r="X147">
        <v>126.6666666666667</v>
      </c>
      <c r="Y147">
        <v>174.6666666666664</v>
      </c>
      <c r="Z147">
        <v>180</v>
      </c>
      <c r="AA147">
        <v>0</v>
      </c>
      <c r="AB147">
        <v>19.94666666666663</v>
      </c>
      <c r="AC147">
        <v>19.653333333333201</v>
      </c>
      <c r="AD147">
        <v>0</v>
      </c>
      <c r="AE147">
        <v>29.733333333333331</v>
      </c>
      <c r="AF147">
        <v>26.666666666666671</v>
      </c>
      <c r="AG147">
        <v>0</v>
      </c>
      <c r="AH147">
        <v>0</v>
      </c>
    </row>
    <row r="148" spans="1:34" x14ac:dyDescent="0.2">
      <c r="A148">
        <v>334</v>
      </c>
      <c r="B148">
        <v>42.5</v>
      </c>
      <c r="C148">
        <v>416.66666666666669</v>
      </c>
      <c r="D148">
        <v>416.66666666666669</v>
      </c>
      <c r="E148">
        <v>750</v>
      </c>
      <c r="F148">
        <f t="shared" si="8"/>
        <v>833.33333333333337</v>
      </c>
      <c r="G148">
        <f t="shared" si="8"/>
        <v>1166.6666666666667</v>
      </c>
      <c r="H148">
        <v>1583.333333333333</v>
      </c>
      <c r="I148">
        <v>0.29411764705882348</v>
      </c>
      <c r="J148">
        <v>0.29411764705882348</v>
      </c>
      <c r="K148">
        <v>0.52941176470588236</v>
      </c>
      <c r="L148">
        <f t="shared" si="9"/>
        <v>0.58823529411764708</v>
      </c>
      <c r="M148">
        <f t="shared" si="9"/>
        <v>0.82352941176470584</v>
      </c>
      <c r="N148">
        <v>1.117647058823529</v>
      </c>
      <c r="O148">
        <v>0</v>
      </c>
      <c r="P148">
        <v>16.8</v>
      </c>
      <c r="Q148">
        <v>79.2</v>
      </c>
      <c r="R148">
        <v>22.8</v>
      </c>
      <c r="S148">
        <v>26.04705882352933</v>
      </c>
      <c r="T148">
        <v>10.18588235294111</v>
      </c>
      <c r="U148">
        <v>8.2023529411764891</v>
      </c>
      <c r="V148">
        <v>3.5294117646844828E-2</v>
      </c>
      <c r="W148">
        <v>44.470588235293548</v>
      </c>
      <c r="X148">
        <v>134.11764705882351</v>
      </c>
      <c r="Y148">
        <v>178.58823529411711</v>
      </c>
      <c r="Z148">
        <v>180</v>
      </c>
      <c r="AA148">
        <v>0</v>
      </c>
      <c r="AB148">
        <v>5.1952941176470224</v>
      </c>
      <c r="AC148">
        <v>16.404705882352982</v>
      </c>
      <c r="AD148">
        <v>7.0588235293689655E-2</v>
      </c>
      <c r="AE148">
        <v>52.09411764705866</v>
      </c>
      <c r="AF148">
        <v>15.17647058823519</v>
      </c>
      <c r="AG148">
        <v>0</v>
      </c>
      <c r="AH148">
        <v>0</v>
      </c>
    </row>
    <row r="149" spans="1:34" x14ac:dyDescent="0.2">
      <c r="A149">
        <v>334</v>
      </c>
      <c r="B149">
        <v>40</v>
      </c>
      <c r="C149">
        <v>416.66666666666669</v>
      </c>
      <c r="D149">
        <v>416.66666666666669</v>
      </c>
      <c r="E149">
        <v>750</v>
      </c>
      <c r="F149">
        <f t="shared" si="8"/>
        <v>833.33333333333337</v>
      </c>
      <c r="G149">
        <f t="shared" si="8"/>
        <v>1166.6666666666667</v>
      </c>
      <c r="H149">
        <v>1583.333333333333</v>
      </c>
      <c r="I149">
        <v>0.31250000000000011</v>
      </c>
      <c r="J149">
        <v>0.31250000000000011</v>
      </c>
      <c r="K149">
        <v>0.5625</v>
      </c>
      <c r="L149">
        <f t="shared" si="9"/>
        <v>0.62500000000000011</v>
      </c>
      <c r="M149">
        <f t="shared" si="9"/>
        <v>0.87500000000000011</v>
      </c>
      <c r="N149">
        <v>1.1875</v>
      </c>
      <c r="O149">
        <v>0</v>
      </c>
      <c r="P149">
        <v>37.200000000000003</v>
      </c>
      <c r="Q149">
        <v>55.2</v>
      </c>
      <c r="R149">
        <v>26.4</v>
      </c>
      <c r="S149">
        <v>21.400499999999571</v>
      </c>
      <c r="T149">
        <v>9.7395000000000032</v>
      </c>
      <c r="U149">
        <v>4.4100000000000161</v>
      </c>
      <c r="V149">
        <v>1.95</v>
      </c>
      <c r="W149">
        <v>37.499999999999602</v>
      </c>
      <c r="X149">
        <v>142.5</v>
      </c>
      <c r="Y149">
        <v>179.9999999999996</v>
      </c>
      <c r="Z149">
        <v>180</v>
      </c>
      <c r="AA149">
        <v>0</v>
      </c>
      <c r="AB149">
        <v>0</v>
      </c>
      <c r="AC149">
        <v>0</v>
      </c>
      <c r="AD149">
        <v>3.9</v>
      </c>
      <c r="AE149">
        <v>42.800999999999149</v>
      </c>
      <c r="AF149">
        <v>19.47900000000001</v>
      </c>
      <c r="AG149">
        <v>8.8200000000000323</v>
      </c>
      <c r="AH149">
        <v>0</v>
      </c>
    </row>
    <row r="150" spans="1:34" x14ac:dyDescent="0.2">
      <c r="A150">
        <v>334</v>
      </c>
      <c r="B150">
        <v>37.5</v>
      </c>
      <c r="C150">
        <v>416.66666666666669</v>
      </c>
      <c r="D150">
        <v>416.66666666666669</v>
      </c>
      <c r="E150">
        <v>750</v>
      </c>
      <c r="F150">
        <f t="shared" si="8"/>
        <v>833.33333333333337</v>
      </c>
      <c r="G150">
        <f t="shared" si="8"/>
        <v>1166.6666666666667</v>
      </c>
      <c r="H150">
        <v>1583.333333333333</v>
      </c>
      <c r="I150">
        <v>0.33333333333333343</v>
      </c>
      <c r="J150">
        <v>0.33333333333333343</v>
      </c>
      <c r="K150">
        <v>0.6</v>
      </c>
      <c r="L150">
        <f t="shared" si="9"/>
        <v>0.66666666666666674</v>
      </c>
      <c r="M150">
        <f t="shared" si="9"/>
        <v>0.93333333333333335</v>
      </c>
      <c r="N150">
        <v>1.2666666666666671</v>
      </c>
      <c r="O150">
        <v>0</v>
      </c>
      <c r="P150">
        <v>40.799999999999997</v>
      </c>
      <c r="Q150">
        <v>82.8</v>
      </c>
      <c r="R150">
        <v>34.799999999999997</v>
      </c>
      <c r="S150">
        <v>19.600000000000001</v>
      </c>
      <c r="T150">
        <v>7.4000000000000812</v>
      </c>
      <c r="U150">
        <v>0.99999999999995959</v>
      </c>
      <c r="V150">
        <v>0</v>
      </c>
      <c r="W150">
        <v>27.999999999999911</v>
      </c>
      <c r="X150">
        <v>152</v>
      </c>
      <c r="Y150">
        <v>179.99999999999989</v>
      </c>
      <c r="Z150">
        <v>180</v>
      </c>
      <c r="AA150">
        <v>0</v>
      </c>
      <c r="AB150">
        <v>0.8</v>
      </c>
      <c r="AC150">
        <v>1.999999999999919</v>
      </c>
      <c r="AD150">
        <v>0</v>
      </c>
      <c r="AE150">
        <v>39.200000000000003</v>
      </c>
      <c r="AF150">
        <v>14.00000000000016</v>
      </c>
      <c r="AG150">
        <v>0</v>
      </c>
      <c r="AH150">
        <v>0</v>
      </c>
    </row>
    <row r="151" spans="1:34" x14ac:dyDescent="0.2">
      <c r="A151">
        <v>334</v>
      </c>
      <c r="B151">
        <v>35</v>
      </c>
      <c r="C151">
        <v>416.66666666666669</v>
      </c>
      <c r="D151">
        <v>416.66666666666669</v>
      </c>
      <c r="E151">
        <v>750</v>
      </c>
      <c r="F151">
        <f t="shared" si="8"/>
        <v>833.33333333333337</v>
      </c>
      <c r="G151">
        <f t="shared" si="8"/>
        <v>1166.6666666666667</v>
      </c>
      <c r="H151">
        <v>1583.333333333333</v>
      </c>
      <c r="I151">
        <v>0.35714285714285721</v>
      </c>
      <c r="J151">
        <v>0.35714285714285721</v>
      </c>
      <c r="K151">
        <v>0.64285714285714279</v>
      </c>
      <c r="L151">
        <f t="shared" si="9"/>
        <v>0.7142857142857143</v>
      </c>
      <c r="M151">
        <f t="shared" si="9"/>
        <v>1</v>
      </c>
      <c r="N151">
        <v>1.357142857142857</v>
      </c>
      <c r="O151">
        <v>0</v>
      </c>
      <c r="P151">
        <v>69.599999999999994</v>
      </c>
      <c r="Q151">
        <v>4.8</v>
      </c>
      <c r="R151">
        <v>79.2</v>
      </c>
      <c r="S151">
        <v>2.8721632653053448</v>
      </c>
      <c r="T151">
        <v>14.750693877551059</v>
      </c>
      <c r="U151">
        <v>8.4342857142855792</v>
      </c>
      <c r="V151">
        <v>1.371428571428583</v>
      </c>
      <c r="W151">
        <v>27.428571428570351</v>
      </c>
      <c r="X151">
        <v>162.85714285714289</v>
      </c>
      <c r="Y151">
        <v>190.28571428571331</v>
      </c>
      <c r="Z151">
        <v>180</v>
      </c>
      <c r="AA151">
        <v>0</v>
      </c>
      <c r="AB151">
        <v>26.742857142857169</v>
      </c>
      <c r="AC151">
        <v>12.34285714285692</v>
      </c>
      <c r="AD151">
        <v>2.742857142857166</v>
      </c>
      <c r="AE151">
        <v>5.7443265306106897</v>
      </c>
      <c r="AF151">
        <v>2.758530612244956</v>
      </c>
      <c r="AG151">
        <v>4.5257142857142352</v>
      </c>
      <c r="AH151">
        <v>0</v>
      </c>
    </row>
    <row r="152" spans="1:34" x14ac:dyDescent="0.2">
      <c r="A152">
        <v>334</v>
      </c>
      <c r="B152">
        <v>32.5</v>
      </c>
      <c r="C152">
        <v>416.66666666666669</v>
      </c>
      <c r="D152">
        <v>416.66666666666669</v>
      </c>
      <c r="E152">
        <v>750</v>
      </c>
      <c r="F152">
        <f t="shared" si="8"/>
        <v>833.33333333333337</v>
      </c>
      <c r="G152">
        <f t="shared" si="8"/>
        <v>1166.6666666666667</v>
      </c>
      <c r="H152">
        <v>1583.333333333333</v>
      </c>
      <c r="I152">
        <v>0.38461538461538458</v>
      </c>
      <c r="J152">
        <v>0.38461538461538458</v>
      </c>
      <c r="K152">
        <v>0.6923076923076924</v>
      </c>
      <c r="L152">
        <f t="shared" si="9"/>
        <v>0.76923076923076927</v>
      </c>
      <c r="M152">
        <f t="shared" si="9"/>
        <v>1.0769230769230771</v>
      </c>
      <c r="N152">
        <v>1.4615384615384619</v>
      </c>
      <c r="O152">
        <v>0</v>
      </c>
      <c r="P152">
        <v>54</v>
      </c>
      <c r="Q152">
        <v>115.2</v>
      </c>
      <c r="R152">
        <v>76.8</v>
      </c>
      <c r="S152">
        <v>6.202508875739416</v>
      </c>
      <c r="T152">
        <v>6.1021065088757389</v>
      </c>
      <c r="U152">
        <v>13.72615384615375</v>
      </c>
      <c r="V152">
        <v>0.73846153846166596</v>
      </c>
      <c r="W152">
        <v>26.76923076923045</v>
      </c>
      <c r="X152">
        <v>175.38461538461539</v>
      </c>
      <c r="Y152">
        <v>202.15384615384579</v>
      </c>
      <c r="Z152">
        <v>180</v>
      </c>
      <c r="AA152">
        <v>0</v>
      </c>
      <c r="AB152">
        <v>7.8461538461538209</v>
      </c>
      <c r="AC152">
        <v>15.046153846153659</v>
      </c>
      <c r="AD152">
        <v>1.4769230769233319</v>
      </c>
      <c r="AE152">
        <v>12.40501775147883</v>
      </c>
      <c r="AF152">
        <v>4.3580591715976578</v>
      </c>
      <c r="AG152">
        <v>12.40615384615384</v>
      </c>
      <c r="AH152">
        <v>0</v>
      </c>
    </row>
    <row r="153" spans="1:34" x14ac:dyDescent="0.2">
      <c r="A153">
        <v>334</v>
      </c>
      <c r="B153">
        <v>30</v>
      </c>
      <c r="C153">
        <v>416.66666666666669</v>
      </c>
      <c r="D153">
        <v>416.66666666666669</v>
      </c>
      <c r="E153">
        <v>750</v>
      </c>
      <c r="F153">
        <f t="shared" si="8"/>
        <v>833.33333333333337</v>
      </c>
      <c r="G153">
        <f t="shared" si="8"/>
        <v>1166.6666666666667</v>
      </c>
      <c r="H153">
        <v>1583.333333333333</v>
      </c>
      <c r="I153">
        <v>0.41666666666666669</v>
      </c>
      <c r="J153">
        <v>0.41666666666666669</v>
      </c>
      <c r="K153">
        <v>0.75</v>
      </c>
      <c r="L153">
        <f t="shared" si="9"/>
        <v>0.83333333333333337</v>
      </c>
      <c r="M153">
        <f t="shared" si="9"/>
        <v>1.1666666666666667</v>
      </c>
      <c r="N153">
        <v>1.583333333333333</v>
      </c>
      <c r="O153">
        <v>0</v>
      </c>
      <c r="P153">
        <v>45.6</v>
      </c>
      <c r="Q153">
        <v>103.2</v>
      </c>
      <c r="R153">
        <v>56.4</v>
      </c>
      <c r="S153">
        <v>8.2559999999997675</v>
      </c>
      <c r="T153">
        <v>1.983999999999934</v>
      </c>
      <c r="U153">
        <v>7.3599999999999763</v>
      </c>
      <c r="V153">
        <v>8.3999999999999186</v>
      </c>
      <c r="W153">
        <v>25.999999999999631</v>
      </c>
      <c r="X153">
        <v>190</v>
      </c>
      <c r="Y153">
        <v>215.9999999999996</v>
      </c>
      <c r="Z153">
        <v>180</v>
      </c>
      <c r="AA153">
        <v>0</v>
      </c>
      <c r="AB153">
        <v>0</v>
      </c>
      <c r="AC153">
        <v>3.2</v>
      </c>
      <c r="AD153">
        <v>16.799999999999841</v>
      </c>
      <c r="AE153">
        <v>16.511999999999539</v>
      </c>
      <c r="AF153">
        <v>3.9679999999998681</v>
      </c>
      <c r="AG153">
        <v>11.51999999999995</v>
      </c>
      <c r="AH153">
        <v>0</v>
      </c>
    </row>
    <row r="154" spans="1:34" x14ac:dyDescent="0.2">
      <c r="A154">
        <v>334</v>
      </c>
      <c r="B154">
        <v>27.5</v>
      </c>
      <c r="C154">
        <v>416.66666666666669</v>
      </c>
      <c r="D154">
        <v>416.66666666666669</v>
      </c>
      <c r="E154">
        <v>750</v>
      </c>
      <c r="F154">
        <f t="shared" si="8"/>
        <v>833.33333333333337</v>
      </c>
      <c r="G154">
        <f t="shared" si="8"/>
        <v>1166.6666666666667</v>
      </c>
      <c r="H154">
        <v>1583.333333333333</v>
      </c>
      <c r="I154">
        <v>0.45454545454545459</v>
      </c>
      <c r="J154">
        <v>0.45454545454545459</v>
      </c>
      <c r="K154">
        <v>0.81818181818181823</v>
      </c>
      <c r="L154">
        <f t="shared" si="9"/>
        <v>0.90909090909090917</v>
      </c>
      <c r="M154">
        <f t="shared" si="9"/>
        <v>1.2727272727272729</v>
      </c>
      <c r="N154">
        <v>1.727272727272728</v>
      </c>
      <c r="O154">
        <v>0</v>
      </c>
      <c r="P154">
        <v>54</v>
      </c>
      <c r="Q154">
        <v>108</v>
      </c>
      <c r="R154">
        <v>33.6</v>
      </c>
      <c r="S154">
        <v>0.30545454545455059</v>
      </c>
      <c r="T154">
        <v>0.13090909090897179</v>
      </c>
      <c r="U154">
        <v>0</v>
      </c>
      <c r="V154">
        <v>26.836363636363401</v>
      </c>
      <c r="W154">
        <v>27.27272727272674</v>
      </c>
      <c r="X154">
        <v>207.27272727272731</v>
      </c>
      <c r="Y154">
        <v>234.54545454545399</v>
      </c>
      <c r="Z154">
        <v>180</v>
      </c>
      <c r="AA154">
        <v>0</v>
      </c>
      <c r="AB154">
        <v>0</v>
      </c>
      <c r="AC154">
        <v>0</v>
      </c>
      <c r="AD154">
        <v>53.672727272726803</v>
      </c>
      <c r="AE154">
        <v>0.61090909090910117</v>
      </c>
      <c r="AF154">
        <v>0.2618181818179437</v>
      </c>
      <c r="AG154">
        <v>0</v>
      </c>
      <c r="AH154">
        <v>0</v>
      </c>
    </row>
    <row r="155" spans="1:34" x14ac:dyDescent="0.2">
      <c r="A155">
        <v>334</v>
      </c>
      <c r="B155">
        <v>25</v>
      </c>
      <c r="C155">
        <v>416.66666666666669</v>
      </c>
      <c r="D155">
        <v>416.66666666666669</v>
      </c>
      <c r="E155">
        <v>750</v>
      </c>
      <c r="F155">
        <f t="shared" si="8"/>
        <v>833.33333333333337</v>
      </c>
      <c r="G155">
        <f t="shared" si="8"/>
        <v>1166.6666666666667</v>
      </c>
      <c r="H155">
        <v>1583.333333333333</v>
      </c>
      <c r="I155">
        <v>0.5</v>
      </c>
      <c r="J155">
        <v>0.5</v>
      </c>
      <c r="K155">
        <v>0.89999999999999991</v>
      </c>
      <c r="L155">
        <f t="shared" si="9"/>
        <v>1</v>
      </c>
      <c r="M155">
        <f t="shared" si="9"/>
        <v>1.4000000000000001</v>
      </c>
      <c r="N155">
        <v>1.9</v>
      </c>
      <c r="O155">
        <v>0</v>
      </c>
      <c r="P155">
        <v>60</v>
      </c>
      <c r="Q155">
        <v>115.2</v>
      </c>
      <c r="R155">
        <v>4.8</v>
      </c>
      <c r="S155">
        <v>0</v>
      </c>
      <c r="T155">
        <v>2.4</v>
      </c>
      <c r="U155">
        <v>1.19999999999996</v>
      </c>
      <c r="V155">
        <v>8.3999999999999186</v>
      </c>
      <c r="W155">
        <v>11.999999999999799</v>
      </c>
      <c r="X155">
        <v>228</v>
      </c>
      <c r="Y155">
        <v>239.9999999999998</v>
      </c>
      <c r="Z155">
        <v>180</v>
      </c>
      <c r="AA155">
        <v>0</v>
      </c>
      <c r="AB155">
        <v>0</v>
      </c>
      <c r="AC155">
        <v>0</v>
      </c>
      <c r="AD155">
        <v>16.799999999999841</v>
      </c>
      <c r="AE155">
        <v>0</v>
      </c>
      <c r="AF155">
        <v>4.8</v>
      </c>
      <c r="AG155">
        <v>2.3999999999999191</v>
      </c>
      <c r="AH155">
        <v>0</v>
      </c>
    </row>
    <row r="156" spans="1:34" x14ac:dyDescent="0.2">
      <c r="A156">
        <v>334</v>
      </c>
      <c r="B156">
        <v>22.5</v>
      </c>
      <c r="C156">
        <v>416.66666666666669</v>
      </c>
      <c r="D156">
        <v>416.66666666666669</v>
      </c>
      <c r="E156">
        <v>750</v>
      </c>
      <c r="F156">
        <f t="shared" si="8"/>
        <v>833.33333333333337</v>
      </c>
      <c r="G156">
        <f t="shared" si="8"/>
        <v>1166.6666666666667</v>
      </c>
      <c r="H156">
        <v>1583.333333333333</v>
      </c>
      <c r="I156">
        <v>0.55555555555555558</v>
      </c>
      <c r="J156">
        <v>0.55555555555555558</v>
      </c>
      <c r="K156">
        <v>1</v>
      </c>
      <c r="L156">
        <f t="shared" si="9"/>
        <v>1.1111111111111112</v>
      </c>
      <c r="M156">
        <f t="shared" si="9"/>
        <v>1.5555555555555556</v>
      </c>
      <c r="N156">
        <v>2.1111111111111112</v>
      </c>
      <c r="O156">
        <v>0</v>
      </c>
      <c r="P156">
        <v>42</v>
      </c>
      <c r="Q156">
        <v>88.8</v>
      </c>
      <c r="R156">
        <v>112.8</v>
      </c>
      <c r="S156">
        <v>0.88000000000004852</v>
      </c>
      <c r="T156">
        <v>7.253333333333285</v>
      </c>
      <c r="U156">
        <v>2.3600000000000159</v>
      </c>
      <c r="V156">
        <v>2.8399999999998218</v>
      </c>
      <c r="W156">
        <v>13.33333333333275</v>
      </c>
      <c r="X156">
        <v>253.33333333333329</v>
      </c>
      <c r="Y156">
        <v>266.66666666666612</v>
      </c>
      <c r="Z156">
        <v>180</v>
      </c>
      <c r="AA156">
        <v>0</v>
      </c>
      <c r="AB156">
        <v>10.133333333333249</v>
      </c>
      <c r="AC156">
        <v>4.7200000000000326</v>
      </c>
      <c r="AD156">
        <v>5.6799999999996436</v>
      </c>
      <c r="AE156">
        <v>1.760000000000097</v>
      </c>
      <c r="AF156">
        <v>4.3733333333333171</v>
      </c>
      <c r="AG156">
        <v>0</v>
      </c>
      <c r="AH156">
        <v>0</v>
      </c>
    </row>
    <row r="157" spans="1:34" x14ac:dyDescent="0.2">
      <c r="A157">
        <v>334</v>
      </c>
      <c r="B157">
        <v>20</v>
      </c>
      <c r="C157">
        <v>416.66666666666669</v>
      </c>
      <c r="D157">
        <v>416.66666666666669</v>
      </c>
      <c r="E157">
        <v>750</v>
      </c>
      <c r="F157">
        <f t="shared" si="8"/>
        <v>833.33333333333337</v>
      </c>
      <c r="G157">
        <f t="shared" si="8"/>
        <v>1166.6666666666667</v>
      </c>
      <c r="H157">
        <v>1583.333333333333</v>
      </c>
      <c r="I157">
        <v>0.62500000000000011</v>
      </c>
      <c r="J157">
        <v>0.62500000000000011</v>
      </c>
      <c r="K157">
        <v>1.125</v>
      </c>
      <c r="L157">
        <f t="shared" si="9"/>
        <v>1.2500000000000002</v>
      </c>
      <c r="M157">
        <f t="shared" si="9"/>
        <v>1.7500000000000002</v>
      </c>
      <c r="N157">
        <v>2.375</v>
      </c>
      <c r="O157">
        <v>0</v>
      </c>
      <c r="P157">
        <v>37.200000000000003</v>
      </c>
      <c r="Q157">
        <v>68.399999999999991</v>
      </c>
      <c r="R157">
        <v>85.2</v>
      </c>
      <c r="S157">
        <v>1.8629999999993341</v>
      </c>
      <c r="T157">
        <v>11.21699999999983</v>
      </c>
      <c r="U157">
        <v>11.880000000000051</v>
      </c>
      <c r="V157">
        <v>8.0399999999999032</v>
      </c>
      <c r="W157">
        <v>32.999999999999183</v>
      </c>
      <c r="X157">
        <v>285</v>
      </c>
      <c r="Y157">
        <v>317.9999999999992</v>
      </c>
      <c r="Z157">
        <v>180</v>
      </c>
      <c r="AA157">
        <v>0</v>
      </c>
      <c r="AB157">
        <v>20.639999999999819</v>
      </c>
      <c r="AC157">
        <v>19.08000000000013</v>
      </c>
      <c r="AD157">
        <v>16.07999999999981</v>
      </c>
      <c r="AE157">
        <v>3.7259999999986682</v>
      </c>
      <c r="AF157">
        <v>1.7939999999998291</v>
      </c>
      <c r="AG157">
        <v>4.6799999999999677</v>
      </c>
      <c r="AH157">
        <v>0</v>
      </c>
    </row>
    <row r="158" spans="1:34" x14ac:dyDescent="0.2">
      <c r="I158">
        <v>0.27200000000000002</v>
      </c>
      <c r="J158">
        <v>0.29299999999999998</v>
      </c>
      <c r="K158">
        <v>0.28799999999999998</v>
      </c>
      <c r="L158">
        <v>0.28799999999999998</v>
      </c>
      <c r="M158">
        <v>0.27200000000000002</v>
      </c>
      <c r="N158">
        <v>0.25</v>
      </c>
    </row>
  </sheetData>
  <phoneticPr fontId="2"/>
  <conditionalFormatting sqref="I2:N157">
    <cfRule type="expression" dxfId="1" priority="1">
      <formula>MOD(I2,0.5)&gt;=I$158</formula>
    </cfRule>
    <cfRule type="expression" dxfId="0" priority="2">
      <formula>MOD(I2,0.5)&lt;I$158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畠中　響生</cp:lastModifiedBy>
  <dcterms:created xsi:type="dcterms:W3CDTF">2026-02-05T14:25:16Z</dcterms:created>
  <dcterms:modified xsi:type="dcterms:W3CDTF">2026-02-09T18:39:11Z</dcterms:modified>
</cp:coreProperties>
</file>