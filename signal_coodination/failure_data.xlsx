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s\Dropbox\UTokyo\oguchi_laboratory\collaboration\hibiki\"/>
    </mc:Choice>
  </mc:AlternateContent>
  <xr:revisionPtr revIDLastSave="0" documentId="13_ncr:1_{6B673542-3724-4E90-BBA2-F30BA981860A}" xr6:coauthVersionLast="47" xr6:coauthVersionMax="47" xr10:uidLastSave="{00000000-0000-0000-0000-000000000000}"/>
  <bookViews>
    <workbookView xWindow="-120" yWindow="-120" windowWidth="38640" windowHeight="16440" xr2:uid="{FCE41246-D12A-40A6-A688-C46EF2CE48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C41" i="1"/>
  <c r="B41" i="1"/>
  <c r="C39" i="1"/>
  <c r="C42" i="1" s="1"/>
  <c r="B39" i="1"/>
  <c r="B42" i="1" s="1"/>
  <c r="C38" i="1"/>
  <c r="B38" i="1"/>
  <c r="G32" i="1"/>
  <c r="G31" i="1"/>
  <c r="D31" i="1"/>
  <c r="Y30" i="1"/>
  <c r="G30" i="1"/>
  <c r="Y29" i="1"/>
  <c r="G29" i="1"/>
  <c r="Y28" i="1"/>
  <c r="G28" i="1"/>
  <c r="Y27" i="1"/>
  <c r="G27" i="1"/>
  <c r="D27" i="1"/>
  <c r="AD26" i="1"/>
  <c r="AC26" i="1"/>
  <c r="Y26" i="1"/>
  <c r="G26" i="1"/>
  <c r="D26" i="1"/>
  <c r="Y25" i="1"/>
  <c r="G25" i="1"/>
  <c r="D25" i="1"/>
  <c r="Y24" i="1"/>
  <c r="G24" i="1"/>
  <c r="AD23" i="1"/>
  <c r="Y23" i="1"/>
  <c r="P23" i="1"/>
  <c r="G23" i="1"/>
  <c r="D23" i="1"/>
  <c r="Y22" i="1"/>
  <c r="P22" i="1"/>
  <c r="G22" i="1"/>
  <c r="D22" i="1"/>
  <c r="Y21" i="1"/>
  <c r="G21" i="1"/>
  <c r="D21" i="1"/>
  <c r="Y20" i="1"/>
  <c r="G20" i="1"/>
  <c r="Y19" i="1"/>
  <c r="G19" i="1"/>
  <c r="Y18" i="1"/>
  <c r="A17" i="1"/>
  <c r="D16" i="1"/>
  <c r="AH15" i="1"/>
  <c r="AG15" i="1"/>
  <c r="AA15" i="1"/>
  <c r="AH14" i="1"/>
  <c r="AG14" i="1"/>
  <c r="AA14" i="1"/>
  <c r="AH13" i="1"/>
  <c r="AG13" i="1"/>
  <c r="AA13" i="1"/>
  <c r="AH12" i="1"/>
  <c r="AG12" i="1"/>
  <c r="AA12" i="1"/>
  <c r="AH11" i="1"/>
  <c r="AG11" i="1"/>
  <c r="AA11" i="1"/>
  <c r="AH10" i="1"/>
  <c r="AG10" i="1"/>
  <c r="AA10" i="1"/>
  <c r="AH9" i="1"/>
  <c r="AG9" i="1"/>
  <c r="AA9" i="1"/>
  <c r="AH8" i="1"/>
  <c r="AG8" i="1"/>
  <c r="AA8" i="1"/>
  <c r="A8" i="1"/>
  <c r="D28" i="1" s="1"/>
  <c r="AH7" i="1"/>
  <c r="AG7" i="1"/>
  <c r="AA7" i="1"/>
  <c r="AH6" i="1"/>
  <c r="AG6" i="1"/>
  <c r="AA6" i="1"/>
  <c r="AH5" i="1"/>
  <c r="AG5" i="1"/>
  <c r="AA5" i="1"/>
  <c r="AH4" i="1"/>
  <c r="AG4" i="1"/>
  <c r="AA4" i="1"/>
  <c r="AH3" i="1"/>
  <c r="AG3" i="1"/>
  <c r="AA3" i="1"/>
  <c r="AH2" i="1"/>
  <c r="AH17" i="1" s="1"/>
  <c r="AH19" i="1" s="1"/>
  <c r="AG2" i="1"/>
  <c r="AG17" i="1" s="1"/>
  <c r="AG19" i="1" s="1"/>
  <c r="AA2" i="1"/>
  <c r="I2" i="1" a="1"/>
  <c r="J12" i="1" s="1"/>
  <c r="H2" i="1" a="1"/>
  <c r="H2" i="1" s="1"/>
  <c r="F2" i="1" a="1"/>
  <c r="F2" i="1" s="1"/>
  <c r="D2" i="1"/>
  <c r="C2" i="1" a="1"/>
  <c r="C2" i="1" s="1"/>
  <c r="AJ12" i="1" l="1"/>
  <c r="B45" i="1"/>
  <c r="B46" i="1" s="1"/>
  <c r="B49" i="1" s="1"/>
  <c r="J11" i="1"/>
  <c r="K12" i="1"/>
  <c r="AI12" i="1" s="1"/>
  <c r="D29" i="1"/>
  <c r="C43" i="1"/>
  <c r="C45" i="1" s="1"/>
  <c r="C46" i="1" s="1"/>
  <c r="K3" i="1"/>
  <c r="AI3" i="1" s="1"/>
  <c r="J8" i="1"/>
  <c r="J13" i="1"/>
  <c r="K6" i="1"/>
  <c r="AI6" i="1" s="1"/>
  <c r="J3" i="1"/>
  <c r="D24" i="1"/>
  <c r="D30" i="1"/>
  <c r="K8" i="1"/>
  <c r="AI8" i="1" s="1"/>
  <c r="K13" i="1"/>
  <c r="AI13" i="1" s="1"/>
  <c r="J4" i="1"/>
  <c r="J6" i="1"/>
  <c r="K4" i="1"/>
  <c r="AI4" i="1" s="1"/>
  <c r="J9" i="1"/>
  <c r="J14" i="1"/>
  <c r="K9" i="1"/>
  <c r="AI9" i="1" s="1"/>
  <c r="K14" i="1"/>
  <c r="AI14" i="1" s="1"/>
  <c r="J5" i="1"/>
  <c r="D20" i="1"/>
  <c r="D32" i="1"/>
  <c r="K5" i="1"/>
  <c r="AI5" i="1" s="1"/>
  <c r="J10" i="1"/>
  <c r="J15" i="1"/>
  <c r="K10" i="1"/>
  <c r="AI10" i="1" s="1"/>
  <c r="K15" i="1"/>
  <c r="AI15" i="1" s="1"/>
  <c r="K11" i="1"/>
  <c r="AI11" i="1" s="1"/>
  <c r="J7" i="1"/>
  <c r="I2" i="1"/>
  <c r="K7" i="1"/>
  <c r="AI7" i="1" s="1"/>
  <c r="C49" i="1" l="1"/>
  <c r="C48" i="1"/>
  <c r="B53" i="1"/>
  <c r="B55" i="1" s="1"/>
  <c r="B50" i="1"/>
  <c r="B52" i="1"/>
  <c r="B56" i="1" s="1"/>
  <c r="AJ13" i="1"/>
  <c r="M13" i="1"/>
  <c r="L13" i="1"/>
  <c r="AJ8" i="1"/>
  <c r="M8" i="1"/>
  <c r="L8" i="1"/>
  <c r="AJ14" i="1"/>
  <c r="M14" i="1"/>
  <c r="L14" i="1"/>
  <c r="AJ5" i="1"/>
  <c r="M5" i="1"/>
  <c r="L5" i="1"/>
  <c r="AJ9" i="1"/>
  <c r="M9" i="1"/>
  <c r="L9" i="1"/>
  <c r="AJ6" i="1"/>
  <c r="M6" i="1"/>
  <c r="L6" i="1"/>
  <c r="AJ11" i="1"/>
  <c r="M11" i="1"/>
  <c r="L11" i="1"/>
  <c r="K2" i="1"/>
  <c r="AI2" i="1" s="1"/>
  <c r="AI17" i="1" s="1"/>
  <c r="AI19" i="1" s="1"/>
  <c r="J2" i="1"/>
  <c r="B48" i="1"/>
  <c r="AJ4" i="1"/>
  <c r="M4" i="1"/>
  <c r="L4" i="1"/>
  <c r="L15" i="1"/>
  <c r="AJ15" i="1"/>
  <c r="M15" i="1"/>
  <c r="L7" i="1"/>
  <c r="AJ7" i="1"/>
  <c r="M7" i="1"/>
  <c r="L10" i="1"/>
  <c r="AJ10" i="1"/>
  <c r="M10" i="1"/>
  <c r="M12" i="1"/>
  <c r="L3" i="1"/>
  <c r="AJ3" i="1"/>
  <c r="M3" i="1"/>
  <c r="L12" i="1"/>
  <c r="Q9" i="1" l="1"/>
  <c r="P9" i="1"/>
  <c r="O9" i="1"/>
  <c r="X7" i="1"/>
  <c r="Q7" i="1"/>
  <c r="P7" i="1"/>
  <c r="O7" i="1"/>
  <c r="Q14" i="1"/>
  <c r="P14" i="1"/>
  <c r="O14" i="1"/>
  <c r="C50" i="1"/>
  <c r="C52" i="1"/>
  <c r="C56" i="1" s="1"/>
  <c r="C53" i="1"/>
  <c r="C55" i="1" s="1"/>
  <c r="X5" i="1"/>
  <c r="Q15" i="1"/>
  <c r="P15" i="1"/>
  <c r="O15" i="1"/>
  <c r="Q4" i="1"/>
  <c r="P4" i="1"/>
  <c r="O4" i="1"/>
  <c r="Q12" i="1"/>
  <c r="P12" i="1"/>
  <c r="O12" i="1"/>
  <c r="X11" i="1"/>
  <c r="Q10" i="1"/>
  <c r="P10" i="1"/>
  <c r="O10" i="1"/>
  <c r="Q5" i="1"/>
  <c r="P5" i="1"/>
  <c r="O5" i="1"/>
  <c r="X14" i="1"/>
  <c r="X4" i="1"/>
  <c r="Q8" i="1"/>
  <c r="P8" i="1"/>
  <c r="O8" i="1"/>
  <c r="X8" i="1"/>
  <c r="Q13" i="1"/>
  <c r="P13" i="1"/>
  <c r="O13" i="1"/>
  <c r="O11" i="1"/>
  <c r="Q11" i="1"/>
  <c r="P11" i="1"/>
  <c r="X3" i="1"/>
  <c r="X9" i="1"/>
  <c r="X15" i="1"/>
  <c r="AJ2" i="1"/>
  <c r="AJ17" i="1" s="1"/>
  <c r="AJ19" i="1" s="1"/>
  <c r="M2" i="1"/>
  <c r="L2" i="1"/>
  <c r="X13" i="1"/>
  <c r="Q3" i="1"/>
  <c r="P3" i="1"/>
  <c r="O3" i="1"/>
  <c r="P6" i="1"/>
  <c r="O6" i="1"/>
  <c r="Q6" i="1"/>
  <c r="X12" i="1"/>
  <c r="X6" i="1"/>
  <c r="X10" i="1"/>
  <c r="Z14" i="1" l="1"/>
  <c r="AB14" i="1" s="1"/>
  <c r="R14" i="1"/>
  <c r="Z12" i="1"/>
  <c r="AB12" i="1" s="1"/>
  <c r="R12" i="1"/>
  <c r="Z10" i="1"/>
  <c r="AB10" i="1" s="1"/>
  <c r="R10" i="1"/>
  <c r="Q2" i="1"/>
  <c r="P2" i="1"/>
  <c r="O2" i="1"/>
  <c r="Z11" i="1"/>
  <c r="AB11" i="1" s="1"/>
  <c r="R11" i="1"/>
  <c r="Z8" i="1"/>
  <c r="AB8" i="1" s="1"/>
  <c r="R8" i="1"/>
  <c r="Z7" i="1"/>
  <c r="AB7" i="1" s="1"/>
  <c r="R7" i="1"/>
  <c r="Z5" i="1"/>
  <c r="AB5" i="1" s="1"/>
  <c r="R5" i="1"/>
  <c r="R9" i="1"/>
  <c r="Z9" i="1"/>
  <c r="AB9" i="1" s="1"/>
  <c r="Z3" i="1"/>
  <c r="AB3" i="1" s="1"/>
  <c r="R3" i="1"/>
  <c r="Z15" i="1"/>
  <c r="AB15" i="1" s="1"/>
  <c r="R15" i="1"/>
  <c r="X2" i="1"/>
  <c r="Z6" i="1"/>
  <c r="AB6" i="1" s="1"/>
  <c r="R6" i="1"/>
  <c r="R4" i="1"/>
  <c r="Z4" i="1"/>
  <c r="AB4" i="1" s="1"/>
  <c r="Z13" i="1"/>
  <c r="AB13" i="1" s="1"/>
  <c r="R13" i="1"/>
  <c r="AD15" i="1" l="1"/>
  <c r="AC15" i="1"/>
  <c r="T9" i="1"/>
  <c r="AF9" i="1"/>
  <c r="S9" i="1"/>
  <c r="U9" i="1" s="1"/>
  <c r="AC9" i="1"/>
  <c r="AD9" i="1"/>
  <c r="T5" i="1"/>
  <c r="S5" i="1"/>
  <c r="U5" i="1" s="1"/>
  <c r="AF5" i="1"/>
  <c r="AC5" i="1"/>
  <c r="AD5" i="1"/>
  <c r="AF7" i="1"/>
  <c r="T7" i="1"/>
  <c r="S7" i="1"/>
  <c r="U7" i="1" s="1"/>
  <c r="AC3" i="1"/>
  <c r="AD3" i="1"/>
  <c r="AD7" i="1"/>
  <c r="AC7" i="1"/>
  <c r="T8" i="1"/>
  <c r="S8" i="1"/>
  <c r="AF8" i="1"/>
  <c r="T13" i="1"/>
  <c r="S13" i="1"/>
  <c r="U13" i="1" s="1"/>
  <c r="AF13" i="1"/>
  <c r="AC13" i="1"/>
  <c r="AD13" i="1"/>
  <c r="AC4" i="1"/>
  <c r="AD4" i="1"/>
  <c r="AD8" i="1"/>
  <c r="AC8" i="1"/>
  <c r="AF11" i="1"/>
  <c r="T11" i="1"/>
  <c r="S11" i="1"/>
  <c r="U11" i="1" s="1"/>
  <c r="AF6" i="1"/>
  <c r="T6" i="1"/>
  <c r="S6" i="1"/>
  <c r="U6" i="1" s="1"/>
  <c r="AD11" i="1"/>
  <c r="AC11" i="1"/>
  <c r="S10" i="1"/>
  <c r="U10" i="1" s="1"/>
  <c r="AF10" i="1"/>
  <c r="T10" i="1"/>
  <c r="AF4" i="1"/>
  <c r="S4" i="1"/>
  <c r="T4" i="1"/>
  <c r="AD6" i="1"/>
  <c r="AC6" i="1"/>
  <c r="Z2" i="1"/>
  <c r="AB2" i="1" s="1"/>
  <c r="R2" i="1"/>
  <c r="AD10" i="1"/>
  <c r="AC10" i="1"/>
  <c r="AF12" i="1"/>
  <c r="T12" i="1"/>
  <c r="S12" i="1"/>
  <c r="U12" i="1" s="1"/>
  <c r="S15" i="1"/>
  <c r="AF15" i="1"/>
  <c r="T15" i="1"/>
  <c r="AC12" i="1"/>
  <c r="AD12" i="1"/>
  <c r="T14" i="1"/>
  <c r="S14" i="1"/>
  <c r="AF14" i="1"/>
  <c r="T3" i="1"/>
  <c r="S3" i="1"/>
  <c r="U3" i="1" s="1"/>
  <c r="AF3" i="1"/>
  <c r="AC14" i="1"/>
  <c r="AD14" i="1"/>
  <c r="V10" i="1" l="1"/>
  <c r="W10" i="1"/>
  <c r="V6" i="1"/>
  <c r="W6" i="1"/>
  <c r="V12" i="1"/>
  <c r="W12" i="1"/>
  <c r="AC2" i="1"/>
  <c r="AD2" i="1"/>
  <c r="V9" i="1"/>
  <c r="W9" i="1"/>
  <c r="W11" i="1"/>
  <c r="V11" i="1"/>
  <c r="V13" i="1"/>
  <c r="W13" i="1"/>
  <c r="AF2" i="1"/>
  <c r="AF17" i="1" s="1"/>
  <c r="AF19" i="1" s="1"/>
  <c r="T2" i="1"/>
  <c r="S2" i="1"/>
  <c r="U2" i="1" s="1"/>
  <c r="U4" i="1"/>
  <c r="U15" i="1"/>
  <c r="V5" i="1"/>
  <c r="W5" i="1"/>
  <c r="W3" i="1"/>
  <c r="V3" i="1"/>
  <c r="W7" i="1"/>
  <c r="V7" i="1"/>
  <c r="U14" i="1"/>
  <c r="U8" i="1"/>
  <c r="W15" i="1" l="1"/>
  <c r="V15" i="1"/>
  <c r="V8" i="1"/>
  <c r="W8" i="1"/>
  <c r="W2" i="1"/>
  <c r="V2" i="1"/>
  <c r="W14" i="1"/>
  <c r="V14" i="1"/>
  <c r="W4" i="1"/>
  <c r="V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<sst xmlns="http://schemas.openxmlformats.org/spreadsheetml/2006/main" count="63" uniqueCount="42">
  <si>
    <t>Cycle</t>
  </si>
  <si>
    <t>IntersectionID</t>
  </si>
  <si>
    <t>GreenSplit</t>
  </si>
  <si>
    <t>LinkID</t>
  </si>
  <si>
    <t>Length</t>
  </si>
  <si>
    <t>LeftIntID</t>
  </si>
  <si>
    <t>RightIntID</t>
  </si>
  <si>
    <t>g1</t>
  </si>
  <si>
    <t>g2</t>
  </si>
  <si>
    <t>deltaGamma</t>
  </si>
  <si>
    <t>xhcemid</t>
  </si>
  <si>
    <t>V50prox</t>
  </si>
  <si>
    <t>N</t>
  </si>
  <si>
    <t>Lambda</t>
  </si>
  <si>
    <t>deltaLambda</t>
  </si>
  <si>
    <t>xhcemin</t>
  </si>
  <si>
    <t>xhcemax</t>
  </si>
  <si>
    <t>Vmanual</t>
  </si>
  <si>
    <t>inf</t>
  </si>
  <si>
    <t>P</t>
  </si>
  <si>
    <t>Pconj</t>
  </si>
  <si>
    <t>Lmin</t>
  </si>
  <si>
    <t>Lmax</t>
  </si>
  <si>
    <t>Vmax</t>
  </si>
  <si>
    <t>(Alea in[P,Pconj])</t>
  </si>
  <si>
    <t>(Alea in [Lmin,Lmax])</t>
  </si>
  <si>
    <t>hours</t>
  </si>
  <si>
    <t>acc</t>
  </si>
  <si>
    <t>a</t>
  </si>
  <si>
    <t>L</t>
  </si>
  <si>
    <t>vM</t>
  </si>
  <si>
    <t>v</t>
  </si>
  <si>
    <t>b</t>
  </si>
  <si>
    <t>c</t>
  </si>
  <si>
    <t>Delta</t>
  </si>
  <si>
    <t>sqrt(Delta)</t>
  </si>
  <si>
    <t>vm1</t>
  </si>
  <si>
    <t>vm2</t>
  </si>
  <si>
    <t>t2</t>
  </si>
  <si>
    <t>t1</t>
  </si>
  <si>
    <t>vmt1</t>
  </si>
  <si>
    <t>(vM+vm)/2*t2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</si>
</sst>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EC78-1B43-42A2-B458-7D246586E31B}">
  <dimension ref="A1:AJ56"/>
  <sheetViews>
    <sheetView tabSelected="1" workbookViewId="0">
      <selection activeCell="U8" sqref="U8"/>
    </sheetView>
  </sheetViews>
  <sheetFormatPr baseColWidth="10" defaultColWidth="8.7109375" defaultRowHeight="15" x14ac:dyDescent="0.25"/>
  <sheetData>
    <row r="1" spans="1:36" x14ac:dyDescent="0.25">
      <c r="A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>
        <v>0</v>
      </c>
      <c r="O1">
        <v>0</v>
      </c>
      <c r="P1">
        <v>1</v>
      </c>
      <c r="Q1">
        <v>1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Y1" t="s">
        <v>17</v>
      </c>
      <c r="Z1" t="s">
        <v>12</v>
      </c>
      <c r="AA1" t="s">
        <v>13</v>
      </c>
      <c r="AB1" t="s">
        <v>14</v>
      </c>
    </row>
    <row r="2" spans="1:36" x14ac:dyDescent="0.25">
      <c r="A2">
        <v>120</v>
      </c>
      <c r="C2" cm="1">
        <f t="array" ref="C2:C16">_xlfn.SEQUENCE(15,,0)</f>
        <v>0</v>
      </c>
      <c r="D2">
        <f>A5</f>
        <v>0.4</v>
      </c>
      <c r="F2" cm="1">
        <f t="array" ref="F2:F15">_xlfn.SEQUENCE(14,,0)</f>
        <v>0</v>
      </c>
      <c r="G2">
        <v>310</v>
      </c>
      <c r="H2" cm="1">
        <f t="array" ref="H2:H15">_xlfn.SEQUENCE(14,,0)</f>
        <v>0</v>
      </c>
      <c r="I2" cm="1">
        <f t="array" ref="I2:I15">_xlfn.SEQUENCE(14,,1)</f>
        <v>1</v>
      </c>
      <c r="J2">
        <f t="shared" ref="J2:J15" si="0">MIN(_xlfn.XLOOKUP($I2,$C$2:$C$16,$D$2:$D$16),_xlfn.XLOOKUP($H2,$C$2:$C$16,$D$2:$D$16))</f>
        <v>0.4</v>
      </c>
      <c r="K2">
        <f t="shared" ref="K2:K15" si="1">MAX(_xlfn.XLOOKUP($I2,$C$2:$C$16,$D$2:$D$16),_xlfn.XLOOKUP($H2,$C$2:$C$16,$D$2:$D$16))</f>
        <v>0.68</v>
      </c>
      <c r="L2">
        <f t="shared" ref="L2:L15" si="2">(J2+K2)/2-$A$5</f>
        <v>0.14000000000000001</v>
      </c>
      <c r="M2">
        <f t="shared" ref="M2:M15" si="3">(1+J2-K2)/2</f>
        <v>0.35999999999999993</v>
      </c>
      <c r="N2" s="1" t="s">
        <v>18</v>
      </c>
      <c r="O2" s="1">
        <f>$G2/$A$2/$L2</f>
        <v>18.452380952380953</v>
      </c>
      <c r="P2" s="1">
        <f>$G2/$A$2/(P$1/2-$L2)</f>
        <v>7.1759259259259265</v>
      </c>
      <c r="Q2" s="1">
        <f>$G2/$A$2/(Q$1/2+$L2)</f>
        <v>4.036458333333333</v>
      </c>
      <c r="R2" s="1">
        <f>IF($A$17&gt;=$O2,$A$17,IF(AND($P2&gt;=$A$17,$A$17&gt;=$Q2),$A$17,$P2))</f>
        <v>7.1759259259259265</v>
      </c>
      <c r="S2" s="1">
        <f>IF($R2&gt;=$O2,0,1)</f>
        <v>1</v>
      </c>
      <c r="T2" s="1">
        <f>$G2/$A$2/$R2</f>
        <v>0.36</v>
      </c>
      <c r="U2" s="1">
        <f>(1-S2)*($L2-T2)+S2*MIN(T2+$L2-S2/2,$L2+S2/2-T2)</f>
        <v>0</v>
      </c>
      <c r="V2" s="1">
        <f>MOD($M2-$U2,1)</f>
        <v>0.35999999999999993</v>
      </c>
      <c r="W2" s="1">
        <f>MOD($M2+$U2,1)</f>
        <v>0.35999999999999993</v>
      </c>
      <c r="X2">
        <f>G2/$A$2/M2</f>
        <v>7.1759259259259274</v>
      </c>
      <c r="Y2" s="1">
        <v>41.298701298701303</v>
      </c>
      <c r="Z2" s="1">
        <f>IF($Y2&gt;=$O2,0,1)</f>
        <v>0</v>
      </c>
      <c r="AA2" s="1">
        <f t="shared" ref="AA2:AA15" si="4">$G2/$A$2/$Y2*3.6</f>
        <v>0.22518867924528302</v>
      </c>
      <c r="AB2" s="1">
        <f>(1-Z2)*($L2-AA2)+Z2*MIN(AA2+$L2-Z2/2,$L2+Z2/2-AA2)</f>
        <v>-8.5188679245283006E-2</v>
      </c>
      <c r="AC2" s="1">
        <f>MOD($M2-$AB2,1)</f>
        <v>0.44518867924528294</v>
      </c>
      <c r="AD2" s="1">
        <f>MOD($M2+$AB2,1)</f>
        <v>0.27481132075471693</v>
      </c>
      <c r="AF2">
        <f t="shared" ref="AF2:AF15" si="5">$G2/1000/R2</f>
        <v>4.3199999999999995E-2</v>
      </c>
      <c r="AG2">
        <f t="shared" ref="AG2:AG15" si="6">$G2/1000/Y2</f>
        <v>7.5062893081760994E-3</v>
      </c>
      <c r="AH2">
        <f t="shared" ref="AH2:AH15" si="7">$G2/1000/50</f>
        <v>6.1999999999999998E-3</v>
      </c>
      <c r="AI2">
        <f t="shared" ref="AI2:AI15" si="8">$G2/1000/50+(1-K2)*$A$2/3600</f>
        <v>1.6866666666666665E-2</v>
      </c>
      <c r="AJ2">
        <f t="shared" ref="AJ2:AJ15" si="9">$G2/1000/50+(1-J2)*$A$2/3600</f>
        <v>2.6200000000000001E-2</v>
      </c>
    </row>
    <row r="3" spans="1:36" x14ac:dyDescent="0.25">
      <c r="C3">
        <v>1</v>
      </c>
      <c r="D3">
        <v>0.68</v>
      </c>
      <c r="F3">
        <v>1</v>
      </c>
      <c r="G3">
        <v>140</v>
      </c>
      <c r="H3">
        <v>1</v>
      </c>
      <c r="I3">
        <v>2</v>
      </c>
      <c r="J3">
        <f t="shared" si="0"/>
        <v>0.68</v>
      </c>
      <c r="K3">
        <f t="shared" si="1"/>
        <v>0.69</v>
      </c>
      <c r="L3">
        <f t="shared" si="2"/>
        <v>0.28500000000000003</v>
      </c>
      <c r="M3">
        <f t="shared" si="3"/>
        <v>0.49500000000000011</v>
      </c>
      <c r="N3" s="1" t="s">
        <v>18</v>
      </c>
      <c r="O3" s="1">
        <f t="shared" ref="O3:O15" si="10">$G3/$A$2/$L3</f>
        <v>4.0935672514619883</v>
      </c>
      <c r="P3" s="1">
        <f t="shared" ref="P3:P15" si="11">$G3/$A$2/(P$1/2-$L3)</f>
        <v>5.4263565891472876</v>
      </c>
      <c r="Q3" s="1">
        <f t="shared" ref="Q3:Q15" si="12">$G3/$A$2/(Q$1/2+$L3)</f>
        <v>1.48619957537155</v>
      </c>
      <c r="R3" s="1">
        <f t="shared" ref="R3:R15" si="13">IF($A$17&gt;=$O3,$A$17,IF(AND($P3&gt;=$A$17,$A$17&gt;=$Q3),$A$17,$P3))</f>
        <v>13.888888888888889</v>
      </c>
      <c r="S3" s="1">
        <f t="shared" ref="S3:S15" si="14">IF($R3&gt;=$O3,0,1)</f>
        <v>0</v>
      </c>
      <c r="T3" s="1">
        <f t="shared" ref="T3:T15" si="15">$G3/$A$2/$R3</f>
        <v>8.4000000000000005E-2</v>
      </c>
      <c r="U3" s="1">
        <f t="shared" ref="U3:U15" si="16">(1-S3)*($L3-T3)+S3*MIN(T3+$L3-S3/2,$L3+S3/2-T3)</f>
        <v>0.20100000000000001</v>
      </c>
      <c r="V3" s="1">
        <f t="shared" ref="V3:V15" si="17">MOD($M3-$U3,1)</f>
        <v>0.29400000000000009</v>
      </c>
      <c r="W3" s="1">
        <f t="shared" ref="W3:W15" si="18">MOD($M3+$U3,1)</f>
        <v>0.69600000000000017</v>
      </c>
      <c r="X3">
        <f t="shared" ref="X3:X15" si="19">G3/$A$2/M3</f>
        <v>2.3569023569023564</v>
      </c>
      <c r="Y3" s="1">
        <v>41.298701298701303</v>
      </c>
      <c r="Z3" s="1">
        <f t="shared" ref="Z3:Z15" si="20">IF($Y3&gt;=$O3,0,1)</f>
        <v>0</v>
      </c>
      <c r="AA3" s="1">
        <f t="shared" si="4"/>
        <v>0.10169811320754717</v>
      </c>
      <c r="AB3" s="1">
        <f t="shared" ref="AB3:AB15" si="21">(1-Z3)*($L3-AA3)+Z3*MIN(AA3+$L3-Z3/2,$L3+Z3/2-AA3)</f>
        <v>0.18330188679245285</v>
      </c>
      <c r="AC3" s="1">
        <f t="shared" ref="AC3:AC15" si="22">MOD($M3-$AB3,1)</f>
        <v>0.31169811320754726</v>
      </c>
      <c r="AD3" s="1">
        <f t="shared" ref="AD3:AD15" si="23">MOD($M3+$AB3,1)</f>
        <v>0.67830188679245296</v>
      </c>
      <c r="AF3">
        <f t="shared" si="5"/>
        <v>1.008E-2</v>
      </c>
      <c r="AG3">
        <f t="shared" si="6"/>
        <v>3.389937106918239E-3</v>
      </c>
      <c r="AH3">
        <f t="shared" si="7"/>
        <v>2.8000000000000004E-3</v>
      </c>
      <c r="AI3">
        <f t="shared" si="8"/>
        <v>1.3133333333333334E-2</v>
      </c>
      <c r="AJ3">
        <f t="shared" si="9"/>
        <v>1.3466666666666665E-2</v>
      </c>
    </row>
    <row r="4" spans="1:36" x14ac:dyDescent="0.25">
      <c r="A4" t="s">
        <v>19</v>
      </c>
      <c r="C4">
        <v>2</v>
      </c>
      <c r="D4">
        <v>0.69</v>
      </c>
      <c r="F4">
        <v>2</v>
      </c>
      <c r="G4">
        <v>290</v>
      </c>
      <c r="H4">
        <v>2</v>
      </c>
      <c r="I4">
        <v>3</v>
      </c>
      <c r="J4">
        <f t="shared" si="0"/>
        <v>0.56999999999999995</v>
      </c>
      <c r="K4">
        <f t="shared" si="1"/>
        <v>0.69</v>
      </c>
      <c r="L4">
        <f t="shared" si="2"/>
        <v>0.22999999999999987</v>
      </c>
      <c r="M4">
        <f t="shared" si="3"/>
        <v>0.43999999999999995</v>
      </c>
      <c r="N4" s="1" t="s">
        <v>18</v>
      </c>
      <c r="O4" s="1">
        <f t="shared" si="10"/>
        <v>10.507246376811599</v>
      </c>
      <c r="P4" s="1">
        <f t="shared" si="11"/>
        <v>8.9506172839506117</v>
      </c>
      <c r="Q4" s="1">
        <f t="shared" si="12"/>
        <v>3.310502283105023</v>
      </c>
      <c r="R4" s="1">
        <f t="shared" si="13"/>
        <v>13.888888888888889</v>
      </c>
      <c r="S4" s="1">
        <f t="shared" si="14"/>
        <v>0</v>
      </c>
      <c r="T4" s="1">
        <f t="shared" si="15"/>
        <v>0.17399999999999999</v>
      </c>
      <c r="U4" s="1">
        <f t="shared" si="16"/>
        <v>5.5999999999999883E-2</v>
      </c>
      <c r="V4" s="1">
        <f t="shared" si="17"/>
        <v>0.38400000000000006</v>
      </c>
      <c r="W4" s="1">
        <f t="shared" si="18"/>
        <v>0.49599999999999983</v>
      </c>
      <c r="X4">
        <f t="shared" si="19"/>
        <v>5.4924242424242431</v>
      </c>
      <c r="Y4" s="1">
        <v>38.095238095238088</v>
      </c>
      <c r="Z4" s="1">
        <f t="shared" si="20"/>
        <v>0</v>
      </c>
      <c r="AA4" s="1">
        <f t="shared" si="4"/>
        <v>0.22837500000000002</v>
      </c>
      <c r="AB4" s="1">
        <f t="shared" si="21"/>
        <v>1.6249999999998488E-3</v>
      </c>
      <c r="AC4" s="1">
        <f t="shared" si="22"/>
        <v>0.43837500000000007</v>
      </c>
      <c r="AD4" s="1">
        <f t="shared" si="23"/>
        <v>0.44162499999999982</v>
      </c>
      <c r="AF4">
        <f t="shared" si="5"/>
        <v>2.0879999999999999E-2</v>
      </c>
      <c r="AG4">
        <f t="shared" si="6"/>
        <v>7.6125000000000012E-3</v>
      </c>
      <c r="AH4">
        <f t="shared" si="7"/>
        <v>5.7999999999999996E-3</v>
      </c>
      <c r="AI4">
        <f t="shared" si="8"/>
        <v>1.6133333333333333E-2</v>
      </c>
      <c r="AJ4">
        <f t="shared" si="9"/>
        <v>2.0133333333333336E-2</v>
      </c>
    </row>
    <row r="5" spans="1:36" x14ac:dyDescent="0.25">
      <c r="A5">
        <v>0.4</v>
      </c>
      <c r="C5">
        <v>3</v>
      </c>
      <c r="D5">
        <v>0.56999999999999995</v>
      </c>
      <c r="F5">
        <v>3</v>
      </c>
      <c r="G5">
        <v>110</v>
      </c>
      <c r="H5">
        <v>3</v>
      </c>
      <c r="I5">
        <v>4</v>
      </c>
      <c r="J5">
        <f t="shared" si="0"/>
        <v>0.56999999999999995</v>
      </c>
      <c r="K5">
        <f t="shared" si="1"/>
        <v>0.56999999999999995</v>
      </c>
      <c r="L5">
        <f t="shared" si="2"/>
        <v>0.16999999999999993</v>
      </c>
      <c r="M5">
        <f t="shared" si="3"/>
        <v>0.49999999999999994</v>
      </c>
      <c r="N5" s="1" t="s">
        <v>18</v>
      </c>
      <c r="O5" s="1">
        <f t="shared" si="10"/>
        <v>5.3921568627451002</v>
      </c>
      <c r="P5" s="1">
        <f t="shared" si="11"/>
        <v>2.7777777777777772</v>
      </c>
      <c r="Q5" s="1">
        <f t="shared" si="12"/>
        <v>1.3681592039800996</v>
      </c>
      <c r="R5" s="1">
        <f t="shared" si="13"/>
        <v>13.888888888888889</v>
      </c>
      <c r="S5" s="1">
        <f t="shared" si="14"/>
        <v>0</v>
      </c>
      <c r="T5" s="1">
        <f t="shared" si="15"/>
        <v>6.5999999999999989E-2</v>
      </c>
      <c r="U5" s="1">
        <f t="shared" si="16"/>
        <v>0.10399999999999994</v>
      </c>
      <c r="V5" s="1">
        <f t="shared" si="17"/>
        <v>0.39600000000000002</v>
      </c>
      <c r="W5" s="1">
        <f t="shared" si="18"/>
        <v>0.60399999999999987</v>
      </c>
      <c r="X5">
        <f t="shared" si="19"/>
        <v>1.8333333333333335</v>
      </c>
      <c r="Y5" s="1">
        <v>31.07</v>
      </c>
      <c r="Z5" s="1">
        <f t="shared" si="20"/>
        <v>0</v>
      </c>
      <c r="AA5" s="1">
        <f t="shared" si="4"/>
        <v>0.10621177985194721</v>
      </c>
      <c r="AB5" s="1">
        <f t="shared" si="21"/>
        <v>6.3788220148052716E-2</v>
      </c>
      <c r="AC5" s="1">
        <f t="shared" si="22"/>
        <v>0.43621177985194726</v>
      </c>
      <c r="AD5" s="1">
        <f t="shared" si="23"/>
        <v>0.56378822014805263</v>
      </c>
      <c r="AF5">
        <f t="shared" si="5"/>
        <v>7.92E-3</v>
      </c>
      <c r="AG5">
        <f t="shared" si="6"/>
        <v>3.5403926617315739E-3</v>
      </c>
      <c r="AH5">
        <f t="shared" si="7"/>
        <v>2.2000000000000001E-3</v>
      </c>
      <c r="AI5">
        <f t="shared" si="8"/>
        <v>1.6533333333333334E-2</v>
      </c>
      <c r="AJ5">
        <f t="shared" si="9"/>
        <v>1.6533333333333334E-2</v>
      </c>
    </row>
    <row r="6" spans="1:36" x14ac:dyDescent="0.25">
      <c r="C6">
        <v>4</v>
      </c>
      <c r="D6">
        <v>0.56999999999999995</v>
      </c>
      <c r="F6">
        <v>4</v>
      </c>
      <c r="G6">
        <v>220</v>
      </c>
      <c r="H6">
        <v>4</v>
      </c>
      <c r="I6">
        <v>5</v>
      </c>
      <c r="J6">
        <f t="shared" si="0"/>
        <v>0.56999999999999995</v>
      </c>
      <c r="K6">
        <f t="shared" si="1"/>
        <v>0.61</v>
      </c>
      <c r="L6">
        <f t="shared" si="2"/>
        <v>0.18999999999999995</v>
      </c>
      <c r="M6">
        <f t="shared" si="3"/>
        <v>0.47999999999999993</v>
      </c>
      <c r="N6" s="1" t="s">
        <v>18</v>
      </c>
      <c r="O6" s="1">
        <f t="shared" si="10"/>
        <v>9.6491228070175463</v>
      </c>
      <c r="P6" s="1">
        <f t="shared" si="11"/>
        <v>5.9139784946236551</v>
      </c>
      <c r="Q6" s="1">
        <f t="shared" si="12"/>
        <v>2.6570048309178746</v>
      </c>
      <c r="R6" s="1">
        <f t="shared" si="13"/>
        <v>13.888888888888889</v>
      </c>
      <c r="S6" s="1">
        <f t="shared" si="14"/>
        <v>0</v>
      </c>
      <c r="T6" s="1">
        <f t="shared" si="15"/>
        <v>0.13199999999999998</v>
      </c>
      <c r="U6" s="1">
        <f t="shared" si="16"/>
        <v>5.7999999999999968E-2</v>
      </c>
      <c r="V6" s="1">
        <f t="shared" si="17"/>
        <v>0.42199999999999993</v>
      </c>
      <c r="W6" s="1">
        <f t="shared" si="18"/>
        <v>0.53799999999999992</v>
      </c>
      <c r="X6">
        <f t="shared" si="19"/>
        <v>3.8194444444444451</v>
      </c>
      <c r="Y6" s="1">
        <v>28.8</v>
      </c>
      <c r="Z6" s="1">
        <f t="shared" si="20"/>
        <v>0</v>
      </c>
      <c r="AA6" s="1">
        <f t="shared" si="4"/>
        <v>0.22916666666666663</v>
      </c>
      <c r="AB6" s="1">
        <f t="shared" si="21"/>
        <v>-3.9166666666666683E-2</v>
      </c>
      <c r="AC6" s="1">
        <f t="shared" si="22"/>
        <v>0.51916666666666655</v>
      </c>
      <c r="AD6" s="1">
        <f t="shared" si="23"/>
        <v>0.44083333333333324</v>
      </c>
      <c r="AF6">
        <f t="shared" si="5"/>
        <v>1.584E-2</v>
      </c>
      <c r="AG6">
        <f t="shared" si="6"/>
        <v>7.6388888888888886E-3</v>
      </c>
      <c r="AH6">
        <f t="shared" si="7"/>
        <v>4.4000000000000003E-3</v>
      </c>
      <c r="AI6">
        <f t="shared" si="8"/>
        <v>1.7400000000000002E-2</v>
      </c>
      <c r="AJ6">
        <f t="shared" si="9"/>
        <v>1.8733333333333334E-2</v>
      </c>
    </row>
    <row r="7" spans="1:36" x14ac:dyDescent="0.25">
      <c r="A7" t="s">
        <v>20</v>
      </c>
      <c r="C7">
        <v>5</v>
      </c>
      <c r="D7">
        <v>0.61</v>
      </c>
      <c r="F7">
        <v>5</v>
      </c>
      <c r="G7">
        <v>390</v>
      </c>
      <c r="H7">
        <v>5</v>
      </c>
      <c r="I7">
        <v>6</v>
      </c>
      <c r="J7">
        <f t="shared" si="0"/>
        <v>0.61</v>
      </c>
      <c r="K7">
        <f t="shared" si="1"/>
        <v>0.62</v>
      </c>
      <c r="L7">
        <f t="shared" si="2"/>
        <v>0.21499999999999997</v>
      </c>
      <c r="M7">
        <f t="shared" si="3"/>
        <v>0.49499999999999994</v>
      </c>
      <c r="N7" s="1" t="s">
        <v>18</v>
      </c>
      <c r="O7" s="1">
        <f t="shared" si="10"/>
        <v>15.116279069767444</v>
      </c>
      <c r="P7" s="1">
        <f t="shared" si="11"/>
        <v>11.403508771929824</v>
      </c>
      <c r="Q7" s="1">
        <f t="shared" si="12"/>
        <v>4.5454545454545459</v>
      </c>
      <c r="R7" s="1">
        <f t="shared" si="13"/>
        <v>11.403508771929824</v>
      </c>
      <c r="S7" s="1">
        <f t="shared" si="14"/>
        <v>1</v>
      </c>
      <c r="T7" s="1">
        <f t="shared" si="15"/>
        <v>0.28500000000000003</v>
      </c>
      <c r="U7" s="1">
        <f t="shared" si="16"/>
        <v>0</v>
      </c>
      <c r="V7" s="1">
        <f t="shared" si="17"/>
        <v>0.49499999999999994</v>
      </c>
      <c r="W7" s="1">
        <f t="shared" si="18"/>
        <v>0.49499999999999994</v>
      </c>
      <c r="X7">
        <f t="shared" si="19"/>
        <v>6.5656565656565666</v>
      </c>
      <c r="Y7" s="1">
        <v>28.8</v>
      </c>
      <c r="Z7" s="1">
        <f t="shared" si="20"/>
        <v>0</v>
      </c>
      <c r="AA7" s="1">
        <f t="shared" si="4"/>
        <v>0.40625</v>
      </c>
      <c r="AB7" s="1">
        <f t="shared" si="21"/>
        <v>-0.19125000000000003</v>
      </c>
      <c r="AC7" s="1">
        <f t="shared" si="22"/>
        <v>0.68625000000000003</v>
      </c>
      <c r="AD7" s="1">
        <f t="shared" si="23"/>
        <v>0.30374999999999991</v>
      </c>
      <c r="AF7">
        <f t="shared" si="5"/>
        <v>3.4200000000000001E-2</v>
      </c>
      <c r="AG7">
        <f t="shared" si="6"/>
        <v>1.3541666666666667E-2</v>
      </c>
      <c r="AH7">
        <f t="shared" si="7"/>
        <v>7.8000000000000005E-3</v>
      </c>
      <c r="AI7">
        <f t="shared" si="8"/>
        <v>2.0466666666666668E-2</v>
      </c>
      <c r="AJ7">
        <f t="shared" si="9"/>
        <v>2.0800000000000003E-2</v>
      </c>
    </row>
    <row r="8" spans="1:36" x14ac:dyDescent="0.25">
      <c r="A8">
        <f>(1+A5)/2</f>
        <v>0.7</v>
      </c>
      <c r="C8">
        <v>6</v>
      </c>
      <c r="D8">
        <v>0.62</v>
      </c>
      <c r="F8">
        <v>6</v>
      </c>
      <c r="G8">
        <v>340</v>
      </c>
      <c r="H8">
        <v>6</v>
      </c>
      <c r="I8">
        <v>7</v>
      </c>
      <c r="J8">
        <f t="shared" si="0"/>
        <v>0.48</v>
      </c>
      <c r="K8">
        <f t="shared" si="1"/>
        <v>0.62</v>
      </c>
      <c r="L8">
        <f t="shared" si="2"/>
        <v>0.15000000000000002</v>
      </c>
      <c r="M8">
        <f t="shared" si="3"/>
        <v>0.43</v>
      </c>
      <c r="N8" s="1" t="s">
        <v>18</v>
      </c>
      <c r="O8" s="1">
        <f t="shared" si="10"/>
        <v>18.888888888888886</v>
      </c>
      <c r="P8" s="1">
        <f t="shared" si="11"/>
        <v>8.0952380952380967</v>
      </c>
      <c r="Q8" s="1">
        <f t="shared" si="12"/>
        <v>4.3589743589743595</v>
      </c>
      <c r="R8" s="1">
        <f t="shared" si="13"/>
        <v>8.0952380952380967</v>
      </c>
      <c r="S8" s="1">
        <f t="shared" si="14"/>
        <v>1</v>
      </c>
      <c r="T8" s="1">
        <f t="shared" si="15"/>
        <v>0.35</v>
      </c>
      <c r="U8" s="1">
        <f t="shared" si="16"/>
        <v>0</v>
      </c>
      <c r="V8" s="1">
        <f t="shared" si="17"/>
        <v>0.43</v>
      </c>
      <c r="W8" s="1">
        <f t="shared" si="18"/>
        <v>0.43</v>
      </c>
      <c r="X8">
        <f t="shared" si="19"/>
        <v>6.5891472868217056</v>
      </c>
      <c r="Y8" s="1">
        <v>28.8</v>
      </c>
      <c r="Z8" s="1">
        <f t="shared" si="20"/>
        <v>0</v>
      </c>
      <c r="AA8" s="1">
        <f t="shared" si="4"/>
        <v>0.35416666666666669</v>
      </c>
      <c r="AB8" s="1">
        <f t="shared" si="21"/>
        <v>-0.20416666666666666</v>
      </c>
      <c r="AC8" s="1">
        <f t="shared" si="22"/>
        <v>0.63416666666666666</v>
      </c>
      <c r="AD8" s="1">
        <f t="shared" si="23"/>
        <v>0.22583333333333333</v>
      </c>
      <c r="AF8">
        <f t="shared" si="5"/>
        <v>4.1999999999999996E-2</v>
      </c>
      <c r="AG8">
        <f t="shared" si="6"/>
        <v>1.1805555555555555E-2</v>
      </c>
      <c r="AH8">
        <f t="shared" si="7"/>
        <v>6.8000000000000005E-3</v>
      </c>
      <c r="AI8">
        <f t="shared" si="8"/>
        <v>1.9466666666666667E-2</v>
      </c>
      <c r="AJ8">
        <f t="shared" si="9"/>
        <v>2.4133333333333336E-2</v>
      </c>
    </row>
    <row r="9" spans="1:36" x14ac:dyDescent="0.25">
      <c r="C9">
        <v>7</v>
      </c>
      <c r="D9">
        <v>0.48</v>
      </c>
      <c r="F9">
        <v>7</v>
      </c>
      <c r="G9">
        <v>130</v>
      </c>
      <c r="H9">
        <v>7</v>
      </c>
      <c r="I9">
        <v>8</v>
      </c>
      <c r="J9">
        <f t="shared" si="0"/>
        <v>0.48</v>
      </c>
      <c r="K9">
        <f t="shared" si="1"/>
        <v>0.51</v>
      </c>
      <c r="L9">
        <f t="shared" si="2"/>
        <v>9.4999999999999973E-2</v>
      </c>
      <c r="M9">
        <f t="shared" si="3"/>
        <v>0.48499999999999999</v>
      </c>
      <c r="N9" s="1" t="s">
        <v>18</v>
      </c>
      <c r="O9" s="1">
        <f t="shared" si="10"/>
        <v>11.403508771929827</v>
      </c>
      <c r="P9" s="1">
        <f t="shared" si="11"/>
        <v>2.6748971193415634</v>
      </c>
      <c r="Q9" s="1">
        <f t="shared" si="12"/>
        <v>1.8207282913165266</v>
      </c>
      <c r="R9" s="1">
        <f t="shared" si="13"/>
        <v>13.888888888888889</v>
      </c>
      <c r="S9" s="1">
        <f t="shared" si="14"/>
        <v>0</v>
      </c>
      <c r="T9" s="1">
        <f t="shared" si="15"/>
        <v>7.7999999999999986E-2</v>
      </c>
      <c r="U9" s="1">
        <f t="shared" si="16"/>
        <v>1.6999999999999987E-2</v>
      </c>
      <c r="V9" s="1">
        <f t="shared" si="17"/>
        <v>0.46799999999999997</v>
      </c>
      <c r="W9" s="1">
        <f t="shared" si="18"/>
        <v>0.502</v>
      </c>
      <c r="X9">
        <f t="shared" si="19"/>
        <v>2.2336769759450172</v>
      </c>
      <c r="Y9" s="1">
        <v>26.571428571428577</v>
      </c>
      <c r="Z9" s="1">
        <f t="shared" si="20"/>
        <v>0</v>
      </c>
      <c r="AA9" s="1">
        <f t="shared" si="4"/>
        <v>0.14677419354838706</v>
      </c>
      <c r="AB9" s="1">
        <f t="shared" si="21"/>
        <v>-5.1774193548387082E-2</v>
      </c>
      <c r="AC9" s="1">
        <f t="shared" si="22"/>
        <v>0.53677419354838707</v>
      </c>
      <c r="AD9" s="1">
        <f t="shared" si="23"/>
        <v>0.4332258064516129</v>
      </c>
      <c r="AF9">
        <f t="shared" si="5"/>
        <v>9.3600000000000003E-3</v>
      </c>
      <c r="AG9">
        <f t="shared" si="6"/>
        <v>4.8924731182795689E-3</v>
      </c>
      <c r="AH9">
        <f t="shared" si="7"/>
        <v>2.5999999999999999E-3</v>
      </c>
      <c r="AI9">
        <f t="shared" si="8"/>
        <v>1.893333333333333E-2</v>
      </c>
      <c r="AJ9">
        <f t="shared" si="9"/>
        <v>1.9933333333333338E-2</v>
      </c>
    </row>
    <row r="10" spans="1:36" x14ac:dyDescent="0.25">
      <c r="A10" t="s">
        <v>21</v>
      </c>
      <c r="C10">
        <v>8</v>
      </c>
      <c r="D10">
        <v>0.51</v>
      </c>
      <c r="F10">
        <v>8</v>
      </c>
      <c r="G10">
        <v>310</v>
      </c>
      <c r="H10">
        <v>8</v>
      </c>
      <c r="I10">
        <v>9</v>
      </c>
      <c r="J10">
        <f t="shared" si="0"/>
        <v>0.51</v>
      </c>
      <c r="K10">
        <f t="shared" si="1"/>
        <v>0.51</v>
      </c>
      <c r="L10">
        <f t="shared" si="2"/>
        <v>0.10999999999999999</v>
      </c>
      <c r="M10">
        <f t="shared" si="3"/>
        <v>0.5</v>
      </c>
      <c r="N10" s="1" t="s">
        <v>18</v>
      </c>
      <c r="O10" s="1">
        <f t="shared" si="10"/>
        <v>23.484848484848488</v>
      </c>
      <c r="P10" s="1">
        <f t="shared" si="11"/>
        <v>6.6239316239316244</v>
      </c>
      <c r="Q10" s="1">
        <f t="shared" si="12"/>
        <v>4.2349726775956285</v>
      </c>
      <c r="R10" s="1">
        <f t="shared" si="13"/>
        <v>6.6239316239316244</v>
      </c>
      <c r="S10" s="1">
        <f t="shared" si="14"/>
        <v>1</v>
      </c>
      <c r="T10" s="1">
        <f t="shared" si="15"/>
        <v>0.39</v>
      </c>
      <c r="U10" s="1">
        <f t="shared" si="16"/>
        <v>0</v>
      </c>
      <c r="V10" s="1">
        <f t="shared" si="17"/>
        <v>0.5</v>
      </c>
      <c r="W10" s="1">
        <f t="shared" si="18"/>
        <v>0.5</v>
      </c>
      <c r="X10">
        <f t="shared" si="19"/>
        <v>5.166666666666667</v>
      </c>
      <c r="Y10" s="1">
        <v>28.860759493670884</v>
      </c>
      <c r="Z10" s="1">
        <f t="shared" si="20"/>
        <v>0</v>
      </c>
      <c r="AA10" s="1">
        <f t="shared" si="4"/>
        <v>0.32223684210526321</v>
      </c>
      <c r="AB10" s="1">
        <f t="shared" si="21"/>
        <v>-0.21223684210526322</v>
      </c>
      <c r="AC10" s="1">
        <f t="shared" si="22"/>
        <v>0.71223684210526317</v>
      </c>
      <c r="AD10" s="1">
        <f t="shared" si="23"/>
        <v>0.28776315789473678</v>
      </c>
      <c r="AF10">
        <f t="shared" si="5"/>
        <v>4.6799999999999994E-2</v>
      </c>
      <c r="AG10">
        <f t="shared" si="6"/>
        <v>1.0741228070175439E-2</v>
      </c>
      <c r="AH10">
        <f t="shared" si="7"/>
        <v>6.1999999999999998E-3</v>
      </c>
      <c r="AI10">
        <f t="shared" si="8"/>
        <v>2.2533333333333332E-2</v>
      </c>
      <c r="AJ10">
        <f t="shared" si="9"/>
        <v>2.2533333333333332E-2</v>
      </c>
    </row>
    <row r="11" spans="1:36" x14ac:dyDescent="0.25">
      <c r="A11">
        <v>100</v>
      </c>
      <c r="C11">
        <v>9</v>
      </c>
      <c r="D11">
        <v>0.51</v>
      </c>
      <c r="F11">
        <v>9</v>
      </c>
      <c r="G11">
        <v>100</v>
      </c>
      <c r="H11">
        <v>9</v>
      </c>
      <c r="I11">
        <v>10</v>
      </c>
      <c r="J11">
        <f t="shared" si="0"/>
        <v>0.51</v>
      </c>
      <c r="K11">
        <f t="shared" si="1"/>
        <v>0.54</v>
      </c>
      <c r="L11">
        <f t="shared" si="2"/>
        <v>0.125</v>
      </c>
      <c r="M11">
        <f t="shared" si="3"/>
        <v>0.48499999999999999</v>
      </c>
      <c r="N11" s="1" t="s">
        <v>18</v>
      </c>
      <c r="O11" s="1">
        <f t="shared" si="10"/>
        <v>6.666666666666667</v>
      </c>
      <c r="P11" s="1">
        <f t="shared" si="11"/>
        <v>2.2222222222222223</v>
      </c>
      <c r="Q11" s="1">
        <f t="shared" si="12"/>
        <v>1.3333333333333335</v>
      </c>
      <c r="R11" s="1">
        <f t="shared" si="13"/>
        <v>13.888888888888889</v>
      </c>
      <c r="S11" s="1">
        <f t="shared" si="14"/>
        <v>0</v>
      </c>
      <c r="T11" s="1">
        <f t="shared" si="15"/>
        <v>0.06</v>
      </c>
      <c r="U11" s="1">
        <f t="shared" si="16"/>
        <v>6.5000000000000002E-2</v>
      </c>
      <c r="V11" s="1">
        <f t="shared" si="17"/>
        <v>0.42</v>
      </c>
      <c r="W11" s="1">
        <f t="shared" si="18"/>
        <v>0.55000000000000004</v>
      </c>
      <c r="X11">
        <f t="shared" si="19"/>
        <v>1.7182130584192441</v>
      </c>
      <c r="Y11" s="1">
        <v>25.367879746835442</v>
      </c>
      <c r="Z11" s="1">
        <f t="shared" si="20"/>
        <v>0</v>
      </c>
      <c r="AA11" s="1">
        <f t="shared" si="4"/>
        <v>0.11825978481210045</v>
      </c>
      <c r="AB11" s="1">
        <f t="shared" si="21"/>
        <v>6.7402151878995509E-3</v>
      </c>
      <c r="AC11" s="1">
        <f t="shared" si="22"/>
        <v>0.47825978481210041</v>
      </c>
      <c r="AD11" s="1">
        <f t="shared" si="23"/>
        <v>0.49174021518789957</v>
      </c>
      <c r="AF11">
        <f t="shared" si="5"/>
        <v>7.1999999999999998E-3</v>
      </c>
      <c r="AG11">
        <f t="shared" si="6"/>
        <v>3.9419928270700141E-3</v>
      </c>
      <c r="AH11">
        <f t="shared" si="7"/>
        <v>2E-3</v>
      </c>
      <c r="AI11">
        <f t="shared" si="8"/>
        <v>1.7333333333333333E-2</v>
      </c>
      <c r="AJ11">
        <f t="shared" si="9"/>
        <v>1.8333333333333333E-2</v>
      </c>
    </row>
    <row r="12" spans="1:36" x14ac:dyDescent="0.25">
      <c r="C12">
        <v>10</v>
      </c>
      <c r="D12">
        <v>0.54</v>
      </c>
      <c r="F12">
        <v>10</v>
      </c>
      <c r="G12">
        <v>320</v>
      </c>
      <c r="H12">
        <v>10</v>
      </c>
      <c r="I12">
        <v>11</v>
      </c>
      <c r="J12">
        <f t="shared" si="0"/>
        <v>0.54</v>
      </c>
      <c r="K12">
        <f t="shared" si="1"/>
        <v>0.54</v>
      </c>
      <c r="L12">
        <f t="shared" si="2"/>
        <v>0.14000000000000001</v>
      </c>
      <c r="M12">
        <f t="shared" si="3"/>
        <v>0.5</v>
      </c>
      <c r="N12" s="1" t="s">
        <v>18</v>
      </c>
      <c r="O12" s="1">
        <f t="shared" si="10"/>
        <v>19.047619047619044</v>
      </c>
      <c r="P12" s="1">
        <f t="shared" si="11"/>
        <v>7.4074074074074074</v>
      </c>
      <c r="Q12" s="1">
        <f t="shared" si="12"/>
        <v>4.1666666666666661</v>
      </c>
      <c r="R12" s="1">
        <f t="shared" si="13"/>
        <v>7.4074074074074074</v>
      </c>
      <c r="S12" s="1">
        <f t="shared" si="14"/>
        <v>1</v>
      </c>
      <c r="T12" s="1">
        <f t="shared" si="15"/>
        <v>0.36</v>
      </c>
      <c r="U12" s="1">
        <f t="shared" si="16"/>
        <v>0</v>
      </c>
      <c r="V12" s="1">
        <f t="shared" si="17"/>
        <v>0.5</v>
      </c>
      <c r="W12" s="1">
        <f t="shared" si="18"/>
        <v>0.5</v>
      </c>
      <c r="X12">
        <f t="shared" si="19"/>
        <v>5.333333333333333</v>
      </c>
      <c r="Y12" s="1">
        <v>21.875</v>
      </c>
      <c r="Z12" s="1">
        <f t="shared" si="20"/>
        <v>0</v>
      </c>
      <c r="AA12" s="1">
        <f t="shared" si="4"/>
        <v>0.43885714285714289</v>
      </c>
      <c r="AB12" s="1">
        <f t="shared" si="21"/>
        <v>-0.29885714285714288</v>
      </c>
      <c r="AC12" s="1">
        <f t="shared" si="22"/>
        <v>0.79885714285714293</v>
      </c>
      <c r="AD12" s="1">
        <f t="shared" si="23"/>
        <v>0.20114285714285712</v>
      </c>
      <c r="AF12">
        <f t="shared" si="5"/>
        <v>4.3200000000000002E-2</v>
      </c>
      <c r="AG12">
        <f t="shared" si="6"/>
        <v>1.4628571428571428E-2</v>
      </c>
      <c r="AH12">
        <f t="shared" si="7"/>
        <v>6.4000000000000003E-3</v>
      </c>
      <c r="AI12">
        <f t="shared" si="8"/>
        <v>2.1733333333333334E-2</v>
      </c>
      <c r="AJ12">
        <f t="shared" si="9"/>
        <v>2.1733333333333334E-2</v>
      </c>
    </row>
    <row r="13" spans="1:36" x14ac:dyDescent="0.25">
      <c r="A13" t="s">
        <v>22</v>
      </c>
      <c r="C13">
        <v>11</v>
      </c>
      <c r="D13">
        <v>0.54</v>
      </c>
      <c r="F13">
        <v>11</v>
      </c>
      <c r="G13">
        <v>230</v>
      </c>
      <c r="H13">
        <v>11</v>
      </c>
      <c r="I13">
        <v>12</v>
      </c>
      <c r="J13">
        <f t="shared" si="0"/>
        <v>0.54</v>
      </c>
      <c r="K13">
        <f t="shared" si="1"/>
        <v>0.56999999999999995</v>
      </c>
      <c r="L13">
        <f t="shared" si="2"/>
        <v>0.15499999999999992</v>
      </c>
      <c r="M13">
        <f t="shared" si="3"/>
        <v>0.48500000000000004</v>
      </c>
      <c r="N13" s="1" t="s">
        <v>18</v>
      </c>
      <c r="O13" s="1">
        <f t="shared" si="10"/>
        <v>12.365591397849469</v>
      </c>
      <c r="P13" s="1">
        <f t="shared" si="11"/>
        <v>5.5555555555555545</v>
      </c>
      <c r="Q13" s="1">
        <f t="shared" si="12"/>
        <v>2.9262086513994916</v>
      </c>
      <c r="R13" s="1">
        <f t="shared" si="13"/>
        <v>13.888888888888889</v>
      </c>
      <c r="S13" s="1">
        <f t="shared" si="14"/>
        <v>0</v>
      </c>
      <c r="T13" s="1">
        <f t="shared" si="15"/>
        <v>0.13800000000000001</v>
      </c>
      <c r="U13" s="1">
        <f t="shared" si="16"/>
        <v>1.6999999999999904E-2</v>
      </c>
      <c r="V13" s="1">
        <f t="shared" si="17"/>
        <v>0.46800000000000014</v>
      </c>
      <c r="W13" s="1">
        <f t="shared" si="18"/>
        <v>0.502</v>
      </c>
      <c r="X13">
        <f t="shared" si="19"/>
        <v>3.9518900343642609</v>
      </c>
      <c r="Y13" s="1">
        <v>23.64</v>
      </c>
      <c r="Z13" s="1">
        <f t="shared" si="20"/>
        <v>0</v>
      </c>
      <c r="AA13" s="1">
        <f t="shared" si="4"/>
        <v>0.29187817258883253</v>
      </c>
      <c r="AB13" s="1">
        <f t="shared" si="21"/>
        <v>-0.13687817258883261</v>
      </c>
      <c r="AC13" s="1">
        <f t="shared" si="22"/>
        <v>0.62187817258883271</v>
      </c>
      <c r="AD13" s="1">
        <f t="shared" si="23"/>
        <v>0.34812182741116743</v>
      </c>
      <c r="AF13">
        <f t="shared" si="5"/>
        <v>1.6560000000000002E-2</v>
      </c>
      <c r="AG13">
        <f t="shared" si="6"/>
        <v>9.7292724196277498E-3</v>
      </c>
      <c r="AH13">
        <f t="shared" si="7"/>
        <v>4.5999999999999999E-3</v>
      </c>
      <c r="AI13">
        <f t="shared" si="8"/>
        <v>1.8933333333333337E-2</v>
      </c>
      <c r="AJ13">
        <f t="shared" si="9"/>
        <v>1.9933333333333331E-2</v>
      </c>
    </row>
    <row r="14" spans="1:36" x14ac:dyDescent="0.25">
      <c r="A14">
        <v>400</v>
      </c>
      <c r="C14">
        <v>12</v>
      </c>
      <c r="D14">
        <v>0.56999999999999995</v>
      </c>
      <c r="F14">
        <v>12</v>
      </c>
      <c r="G14">
        <v>250</v>
      </c>
      <c r="H14">
        <v>12</v>
      </c>
      <c r="I14">
        <v>13</v>
      </c>
      <c r="J14">
        <f t="shared" si="0"/>
        <v>0.43</v>
      </c>
      <c r="K14">
        <f t="shared" si="1"/>
        <v>0.56999999999999995</v>
      </c>
      <c r="L14">
        <f t="shared" si="2"/>
        <v>9.9999999999999978E-2</v>
      </c>
      <c r="M14">
        <f t="shared" si="3"/>
        <v>0.43</v>
      </c>
      <c r="N14" s="1" t="s">
        <v>18</v>
      </c>
      <c r="O14" s="1">
        <f t="shared" si="10"/>
        <v>20.833333333333339</v>
      </c>
      <c r="P14" s="1">
        <f t="shared" si="11"/>
        <v>5.208333333333333</v>
      </c>
      <c r="Q14" s="1">
        <f t="shared" si="12"/>
        <v>3.4722222222222228</v>
      </c>
      <c r="R14" s="1">
        <f t="shared" si="13"/>
        <v>5.208333333333333</v>
      </c>
      <c r="S14" s="1">
        <f t="shared" si="14"/>
        <v>1</v>
      </c>
      <c r="T14" s="1">
        <f t="shared" si="15"/>
        <v>0.40000000000000008</v>
      </c>
      <c r="U14" s="1">
        <f t="shared" si="16"/>
        <v>0</v>
      </c>
      <c r="V14" s="1">
        <f t="shared" si="17"/>
        <v>0.43</v>
      </c>
      <c r="W14" s="1">
        <f t="shared" si="18"/>
        <v>0.43</v>
      </c>
      <c r="X14">
        <f t="shared" si="19"/>
        <v>4.8449612403100781</v>
      </c>
      <c r="Y14" s="1">
        <v>27.847397260273976</v>
      </c>
      <c r="Z14" s="1">
        <f t="shared" si="20"/>
        <v>0</v>
      </c>
      <c r="AA14" s="1">
        <f t="shared" si="4"/>
        <v>0.2693249904076031</v>
      </c>
      <c r="AB14" s="1">
        <f t="shared" si="21"/>
        <v>-0.16932499040760313</v>
      </c>
      <c r="AC14" s="1">
        <f t="shared" si="22"/>
        <v>0.59932499040760312</v>
      </c>
      <c r="AD14" s="1">
        <f t="shared" si="23"/>
        <v>0.26067500959239687</v>
      </c>
      <c r="AF14">
        <f t="shared" si="5"/>
        <v>4.8000000000000001E-2</v>
      </c>
      <c r="AG14">
        <f t="shared" si="6"/>
        <v>8.9774996802534351E-3</v>
      </c>
      <c r="AH14">
        <f t="shared" si="7"/>
        <v>5.0000000000000001E-3</v>
      </c>
      <c r="AI14">
        <f t="shared" si="8"/>
        <v>1.9333333333333334E-2</v>
      </c>
      <c r="AJ14">
        <f t="shared" si="9"/>
        <v>2.4000000000000004E-2</v>
      </c>
    </row>
    <row r="15" spans="1:36" x14ac:dyDescent="0.25">
      <c r="C15">
        <v>13</v>
      </c>
      <c r="D15">
        <v>0.43</v>
      </c>
      <c r="F15">
        <v>13</v>
      </c>
      <c r="G15">
        <v>190</v>
      </c>
      <c r="H15">
        <v>13</v>
      </c>
      <c r="I15">
        <v>14</v>
      </c>
      <c r="J15">
        <f t="shared" si="0"/>
        <v>0.4</v>
      </c>
      <c r="K15">
        <f t="shared" si="1"/>
        <v>0.43</v>
      </c>
      <c r="L15">
        <f t="shared" si="2"/>
        <v>1.5000000000000013E-2</v>
      </c>
      <c r="M15">
        <f t="shared" si="3"/>
        <v>0.48499999999999999</v>
      </c>
      <c r="N15" s="1" t="s">
        <v>18</v>
      </c>
      <c r="O15" s="1">
        <f t="shared" si="10"/>
        <v>105.55555555555546</v>
      </c>
      <c r="P15" s="1">
        <f t="shared" si="11"/>
        <v>3.2646048109965635</v>
      </c>
      <c r="Q15" s="1">
        <f t="shared" si="12"/>
        <v>3.0744336569579285</v>
      </c>
      <c r="R15" s="1">
        <f t="shared" si="13"/>
        <v>3.2646048109965635</v>
      </c>
      <c r="S15" s="1">
        <f t="shared" si="14"/>
        <v>1</v>
      </c>
      <c r="T15" s="1">
        <f t="shared" si="15"/>
        <v>0.48499999999999999</v>
      </c>
      <c r="U15" s="1">
        <f t="shared" si="16"/>
        <v>0</v>
      </c>
      <c r="V15" s="1">
        <f t="shared" si="17"/>
        <v>0.48499999999999999</v>
      </c>
      <c r="W15" s="1">
        <f t="shared" si="18"/>
        <v>0.48499999999999999</v>
      </c>
      <c r="X15">
        <f t="shared" si="19"/>
        <v>3.2646048109965635</v>
      </c>
      <c r="Y15" s="1">
        <v>32.054794520547951</v>
      </c>
      <c r="Z15" s="1">
        <f t="shared" si="20"/>
        <v>1</v>
      </c>
      <c r="AA15" s="1">
        <f t="shared" si="4"/>
        <v>0.17782051282051278</v>
      </c>
      <c r="AB15" s="1">
        <f t="shared" si="21"/>
        <v>-0.30717948717948718</v>
      </c>
      <c r="AC15" s="1">
        <f t="shared" si="22"/>
        <v>0.79217948717948716</v>
      </c>
      <c r="AD15" s="1">
        <f t="shared" si="23"/>
        <v>0.17782051282051281</v>
      </c>
      <c r="AF15">
        <f t="shared" si="5"/>
        <v>5.8200000000000002E-2</v>
      </c>
      <c r="AG15">
        <f t="shared" si="6"/>
        <v>5.9273504273504264E-3</v>
      </c>
      <c r="AH15">
        <f t="shared" si="7"/>
        <v>3.8E-3</v>
      </c>
      <c r="AI15">
        <f t="shared" si="8"/>
        <v>2.2800000000000004E-2</v>
      </c>
      <c r="AJ15">
        <f t="shared" si="9"/>
        <v>2.3800000000000002E-2</v>
      </c>
    </row>
    <row r="16" spans="1:36" x14ac:dyDescent="0.25">
      <c r="A16" t="s">
        <v>23</v>
      </c>
      <c r="C16">
        <v>14</v>
      </c>
      <c r="D16">
        <f>A5</f>
        <v>0.4</v>
      </c>
    </row>
    <row r="17" spans="1:36" x14ac:dyDescent="0.25">
      <c r="A17">
        <f>50/3.6</f>
        <v>13.888888888888889</v>
      </c>
      <c r="AF17">
        <f>SUM(AF2:AF15)</f>
        <v>0.40344000000000002</v>
      </c>
      <c r="AG17">
        <f>SUM(AG2:AG15)</f>
        <v>0.1138736181592651</v>
      </c>
      <c r="AH17">
        <f>SUM(AH2:AH15)</f>
        <v>6.6600000000000006E-2</v>
      </c>
      <c r="AI17">
        <f>SUM(AI2:AI15)</f>
        <v>0.2616</v>
      </c>
      <c r="AJ17">
        <f>SUM(AJ2:AJ15)</f>
        <v>0.29026666666666667</v>
      </c>
    </row>
    <row r="18" spans="1:36" x14ac:dyDescent="0.25">
      <c r="D18" t="s">
        <v>24</v>
      </c>
      <c r="G18" t="s">
        <v>25</v>
      </c>
      <c r="Y18">
        <f>ABS(Y2-Y3)</f>
        <v>0</v>
      </c>
      <c r="AF18" t="s">
        <v>26</v>
      </c>
      <c r="AG18" t="s">
        <v>26</v>
      </c>
      <c r="AH18" t="s">
        <v>26</v>
      </c>
      <c r="AI18" t="s">
        <v>26</v>
      </c>
      <c r="AJ18" t="s">
        <v>26</v>
      </c>
    </row>
    <row r="19" spans="1:36" x14ac:dyDescent="0.25">
      <c r="A19" t="s">
        <v>27</v>
      </c>
      <c r="G19">
        <f ca="1">RANDBETWEEN($A$11/10,$A$14/10)*10</f>
        <v>360</v>
      </c>
      <c r="Y19">
        <f t="shared" ref="Y19:Y30" si="24">ABS(Y3-Y4)</f>
        <v>3.2034632034632153</v>
      </c>
      <c r="AF19">
        <f>AF17*60</f>
        <v>24.206400000000002</v>
      </c>
      <c r="AG19">
        <f>AG17*60</f>
        <v>6.8324170895559062</v>
      </c>
      <c r="AH19">
        <f>AH17*60</f>
        <v>3.9960000000000004</v>
      </c>
      <c r="AI19">
        <f>AI17*60</f>
        <v>15.696</v>
      </c>
      <c r="AJ19">
        <f>AJ17*60</f>
        <v>17.416</v>
      </c>
    </row>
    <row r="20" spans="1:36" x14ac:dyDescent="0.25">
      <c r="A20">
        <v>3.6</v>
      </c>
      <c r="D20">
        <f ca="1">RANDBETWEEN(100*$A$5,100*$A$8)/100</f>
        <v>0.42</v>
      </c>
      <c r="G20">
        <f t="shared" ref="G20:G32" ca="1" si="25">RANDBETWEEN($A$11/10,$A$14/10)*10</f>
        <v>100</v>
      </c>
      <c r="Y20">
        <f t="shared" si="24"/>
        <v>7.0252380952380875</v>
      </c>
    </row>
    <row r="21" spans="1:36" x14ac:dyDescent="0.25">
      <c r="D21">
        <f t="shared" ref="D21:D32" ca="1" si="26">RANDBETWEEN(100*$A$5,100*$A$8)/100</f>
        <v>0.5</v>
      </c>
      <c r="G21">
        <f t="shared" ca="1" si="25"/>
        <v>260</v>
      </c>
      <c r="Y21">
        <f t="shared" si="24"/>
        <v>2.2699999999999996</v>
      </c>
    </row>
    <row r="22" spans="1:36" x14ac:dyDescent="0.25">
      <c r="D22">
        <f t="shared" ca="1" si="26"/>
        <v>0.54</v>
      </c>
      <c r="G22">
        <f t="shared" ca="1" si="25"/>
        <v>400</v>
      </c>
      <c r="P22">
        <f>6000/550</f>
        <v>10.909090909090908</v>
      </c>
      <c r="Y22">
        <f t="shared" si="24"/>
        <v>0</v>
      </c>
      <c r="AC22">
        <v>33</v>
      </c>
      <c r="AD22">
        <v>33</v>
      </c>
    </row>
    <row r="23" spans="1:36" x14ac:dyDescent="0.25">
      <c r="D23">
        <f t="shared" ca="1" si="26"/>
        <v>0.54</v>
      </c>
      <c r="G23">
        <f t="shared" ca="1" si="25"/>
        <v>370</v>
      </c>
      <c r="P23">
        <f>P22*3.6</f>
        <v>39.272727272727273</v>
      </c>
      <c r="Y23">
        <f t="shared" si="24"/>
        <v>0</v>
      </c>
      <c r="AC23">
        <v>33</v>
      </c>
      <c r="AD23">
        <f>(33+18)/2</f>
        <v>25.5</v>
      </c>
    </row>
    <row r="24" spans="1:36" x14ac:dyDescent="0.25">
      <c r="D24">
        <f t="shared" ca="1" si="26"/>
        <v>0.64</v>
      </c>
      <c r="G24">
        <f t="shared" ca="1" si="25"/>
        <v>250</v>
      </c>
      <c r="Y24">
        <f t="shared" si="24"/>
        <v>2.2285714285714242</v>
      </c>
      <c r="AC24">
        <v>18</v>
      </c>
      <c r="AD24">
        <v>18</v>
      </c>
    </row>
    <row r="25" spans="1:36" x14ac:dyDescent="0.25">
      <c r="D25">
        <f t="shared" ca="1" si="26"/>
        <v>0.44</v>
      </c>
      <c r="G25">
        <f t="shared" ca="1" si="25"/>
        <v>300</v>
      </c>
      <c r="Y25">
        <f t="shared" si="24"/>
        <v>2.2893309222423071</v>
      </c>
    </row>
    <row r="26" spans="1:36" x14ac:dyDescent="0.25">
      <c r="D26">
        <f t="shared" ca="1" si="26"/>
        <v>0.5</v>
      </c>
      <c r="G26">
        <f t="shared" ca="1" si="25"/>
        <v>330</v>
      </c>
      <c r="Y26">
        <f t="shared" si="24"/>
        <v>3.4928797468354418</v>
      </c>
      <c r="AC26">
        <f>_xlfn.STDEV.S(AC22:AC24)</f>
        <v>8.6602540378443873</v>
      </c>
      <c r="AD26">
        <f>_xlfn.STDEV.S(AD22:AD24)</f>
        <v>7.5</v>
      </c>
    </row>
    <row r="27" spans="1:36" x14ac:dyDescent="0.25">
      <c r="D27">
        <f t="shared" ca="1" si="26"/>
        <v>0.65</v>
      </c>
      <c r="G27">
        <f t="shared" ca="1" si="25"/>
        <v>190</v>
      </c>
      <c r="Y27">
        <f t="shared" si="24"/>
        <v>3.4928797468354418</v>
      </c>
    </row>
    <row r="28" spans="1:36" x14ac:dyDescent="0.25">
      <c r="D28">
        <f t="shared" ca="1" si="26"/>
        <v>0.63</v>
      </c>
      <c r="G28">
        <f t="shared" ca="1" si="25"/>
        <v>300</v>
      </c>
      <c r="Y28">
        <f t="shared" si="24"/>
        <v>1.7650000000000006</v>
      </c>
    </row>
    <row r="29" spans="1:36" x14ac:dyDescent="0.25">
      <c r="D29">
        <f t="shared" ca="1" si="26"/>
        <v>0.61</v>
      </c>
      <c r="G29">
        <f t="shared" ca="1" si="25"/>
        <v>300</v>
      </c>
      <c r="Y29">
        <f t="shared" si="24"/>
        <v>4.2073972602739751</v>
      </c>
    </row>
    <row r="30" spans="1:36" x14ac:dyDescent="0.25">
      <c r="D30">
        <f t="shared" ca="1" si="26"/>
        <v>0.54</v>
      </c>
      <c r="G30">
        <f t="shared" ca="1" si="25"/>
        <v>120</v>
      </c>
      <c r="Y30">
        <f t="shared" si="24"/>
        <v>4.2073972602739751</v>
      </c>
    </row>
    <row r="31" spans="1:36" x14ac:dyDescent="0.25">
      <c r="D31">
        <f t="shared" ca="1" si="26"/>
        <v>0.53</v>
      </c>
      <c r="G31">
        <f t="shared" ca="1" si="25"/>
        <v>180</v>
      </c>
    </row>
    <row r="32" spans="1:36" x14ac:dyDescent="0.25">
      <c r="D32">
        <f t="shared" ca="1" si="26"/>
        <v>0.42</v>
      </c>
      <c r="G32">
        <f t="shared" ca="1" si="25"/>
        <v>360</v>
      </c>
    </row>
    <row r="36" spans="1:3" x14ac:dyDescent="0.25">
      <c r="A36" t="s">
        <v>28</v>
      </c>
      <c r="B36">
        <v>3.6</v>
      </c>
      <c r="C36">
        <v>3.6</v>
      </c>
    </row>
    <row r="37" spans="1:3" x14ac:dyDescent="0.25">
      <c r="A37" t="s">
        <v>29</v>
      </c>
      <c r="B37">
        <v>150</v>
      </c>
      <c r="C37">
        <v>180</v>
      </c>
    </row>
    <row r="38" spans="1:3" x14ac:dyDescent="0.25">
      <c r="A38" t="s">
        <v>30</v>
      </c>
      <c r="B38">
        <f>50/3.6</f>
        <v>13.888888888888889</v>
      </c>
      <c r="C38">
        <f>50/3.6</f>
        <v>13.888888888888889</v>
      </c>
    </row>
    <row r="39" spans="1:3" x14ac:dyDescent="0.25">
      <c r="A39" t="s">
        <v>31</v>
      </c>
      <c r="B39">
        <f>9.375/3.6</f>
        <v>2.6041666666666665</v>
      </c>
      <c r="C39">
        <f>13.6708860759494/3.6</f>
        <v>3.7974683544303889</v>
      </c>
    </row>
    <row r="41" spans="1:3" x14ac:dyDescent="0.25">
      <c r="A41" t="s">
        <v>28</v>
      </c>
      <c r="B41">
        <f>1/2/B36</f>
        <v>0.1388888888888889</v>
      </c>
      <c r="C41">
        <f>1/2/C36</f>
        <v>0.1388888888888889</v>
      </c>
    </row>
    <row r="42" spans="1:3" x14ac:dyDescent="0.25">
      <c r="A42" t="s">
        <v>32</v>
      </c>
      <c r="B42">
        <f>B37/B39-B38/B36</f>
        <v>53.741975308641976</v>
      </c>
      <c r="C42">
        <f>C37/C39-C38/C36</f>
        <v>43.541975308641859</v>
      </c>
    </row>
    <row r="43" spans="1:3" x14ac:dyDescent="0.25">
      <c r="A43" t="s">
        <v>33</v>
      </c>
      <c r="B43">
        <f>B38*B38/2/B36-B37</f>
        <v>-123.20816186556928</v>
      </c>
      <c r="C43">
        <f>C38*C38/2/C36-C37</f>
        <v>-153.20816186556928</v>
      </c>
    </row>
    <row r="45" spans="1:3" x14ac:dyDescent="0.25">
      <c r="A45" t="s">
        <v>34</v>
      </c>
      <c r="B45">
        <f>B42*B42-4*B41*B43</f>
        <v>2956.6488888888889</v>
      </c>
      <c r="C45">
        <f>C42*C42-4*C41*C43</f>
        <v>1981.0192592592491</v>
      </c>
    </row>
    <row r="46" spans="1:3" x14ac:dyDescent="0.25">
      <c r="A46" t="s">
        <v>35</v>
      </c>
      <c r="B46">
        <f>SQRT(B45)</f>
        <v>54.375075989729787</v>
      </c>
      <c r="C46">
        <f>SQRT(C45)</f>
        <v>44.50864252321395</v>
      </c>
    </row>
    <row r="48" spans="1:3" x14ac:dyDescent="0.25">
      <c r="A48" t="s">
        <v>36</v>
      </c>
      <c r="B48">
        <f>(-B$42-B$46)/2/B$41</f>
        <v>-389.22138467413833</v>
      </c>
      <c r="C48">
        <f>(-C$42-C$46)/2/C$41</f>
        <v>-316.98222419468095</v>
      </c>
    </row>
    <row r="49" spans="1:3" x14ac:dyDescent="0.25">
      <c r="A49" t="s">
        <v>37</v>
      </c>
      <c r="B49">
        <f>(-B$42+B$46)/2/B$41</f>
        <v>2.2791624519161187</v>
      </c>
      <c r="C49">
        <f>(-C$42+C$46)/2/C$41</f>
        <v>3.4800019724595272</v>
      </c>
    </row>
    <row r="50" spans="1:3" x14ac:dyDescent="0.25">
      <c r="B50">
        <f>B49*3.6</f>
        <v>8.204984826898027</v>
      </c>
      <c r="C50">
        <f>C49*3.6</f>
        <v>12.528007100854298</v>
      </c>
    </row>
    <row r="52" spans="1:3" x14ac:dyDescent="0.25">
      <c r="A52" t="s">
        <v>38</v>
      </c>
      <c r="B52">
        <f>(B38-B49)/B36</f>
        <v>3.2249240102702141</v>
      </c>
      <c r="C52">
        <f>(C38-C49)/C36</f>
        <v>2.8913574767859336</v>
      </c>
    </row>
    <row r="53" spans="1:3" x14ac:dyDescent="0.25">
      <c r="A53" t="s">
        <v>39</v>
      </c>
      <c r="B53">
        <f>B37/B39-(B38-B49)/B36</f>
        <v>54.375075989729787</v>
      </c>
      <c r="C53">
        <f>C37/C39-(C38-C49)/C36</f>
        <v>44.50864252321395</v>
      </c>
    </row>
    <row r="55" spans="1:3" x14ac:dyDescent="0.25">
      <c r="A55" t="s">
        <v>40</v>
      </c>
      <c r="B55">
        <f>B53*B49</f>
        <v>123.92963151587782</v>
      </c>
      <c r="C55">
        <f>C53*C49</f>
        <v>154.89016377228054</v>
      </c>
    </row>
    <row r="56" spans="1:3" x14ac:dyDescent="0.25">
      <c r="A56" t="s">
        <v>41</v>
      </c>
      <c r="B56">
        <f>(B49+B38)/2*B52</f>
        <v>26.070368484121797</v>
      </c>
      <c r="C56">
        <f>(C49+C38)/2*C52</f>
        <v>25.109836227719306</v>
      </c>
    </row>
  </sheetData>
  <conditionalFormatting sqref="R1:R1048576">
    <cfRule type="cellIs" dxfId="0" priority="1" operator="equal">
      <formula>$A$17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LANCELOT　Tatsumi Loig Galaad Gweltaz</dc:creator>
  <cp:lastModifiedBy>LANCELOT　Tatsumi Loig Galaad Gweltaz</cp:lastModifiedBy>
  <dcterms:created xsi:type="dcterms:W3CDTF">2026-02-03T11:29:20Z</dcterms:created>
  <dcterms:modified xsi:type="dcterms:W3CDTF">2026-02-03T11:32:27Z</dcterms:modified>
</cp:coreProperties>
</file>