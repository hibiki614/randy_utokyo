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0a7229fe28fb870/デスクトップ/randy_utokyo/signal_coodination/"/>
    </mc:Choice>
  </mc:AlternateContent>
  <xr:revisionPtr revIDLastSave="8" documentId="14_{A802CD8D-A193-4DA2-9C7F-D0478ED86862}" xr6:coauthVersionLast="47" xr6:coauthVersionMax="47" xr10:uidLastSave="{3914503E-3CF7-4077-9746-2C5C2494E29C}"/>
  <bookViews>
    <workbookView xWindow="-110" yWindow="-110" windowWidth="38620" windowHeight="211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T16" i="2" s="1"/>
  <c r="U16" i="2" s="1"/>
  <c r="F17" i="2"/>
  <c r="T17" i="2" s="1"/>
  <c r="U17" i="2" s="1"/>
  <c r="F18" i="2"/>
  <c r="T18" i="2" s="1"/>
  <c r="U18" i="2" s="1"/>
  <c r="F19" i="2"/>
  <c r="T19" i="2" s="1"/>
  <c r="U19" i="2" s="1"/>
  <c r="F20" i="2"/>
  <c r="T20" i="2" s="1"/>
  <c r="U20" i="2" s="1"/>
  <c r="F21" i="2"/>
  <c r="T21" i="2" s="1"/>
  <c r="U21" i="2" s="1"/>
  <c r="F22" i="2"/>
  <c r="T22" i="2" s="1"/>
  <c r="U22" i="2" s="1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T36" i="2" s="1"/>
  <c r="U36" i="2" s="1"/>
  <c r="F37" i="2"/>
  <c r="T37" i="2" s="1"/>
  <c r="U37" i="2" s="1"/>
  <c r="F38" i="2"/>
  <c r="T38" i="2" s="1"/>
  <c r="U38" i="2" s="1"/>
  <c r="F39" i="2"/>
  <c r="T39" i="2" s="1"/>
  <c r="U39" i="2" s="1"/>
  <c r="F40" i="2"/>
  <c r="T40" i="2" s="1"/>
  <c r="U40" i="2" s="1"/>
  <c r="F41" i="2"/>
  <c r="T41" i="2" s="1"/>
  <c r="U41" i="2" s="1"/>
  <c r="F42" i="2"/>
  <c r="T42" i="2" s="1"/>
  <c r="U42" i="2" s="1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T56" i="2" s="1"/>
  <c r="U56" i="2" s="1"/>
  <c r="F57" i="2"/>
  <c r="T57" i="2" s="1"/>
  <c r="U57" i="2" s="1"/>
  <c r="F58" i="2"/>
  <c r="T58" i="2" s="1"/>
  <c r="U58" i="2" s="1"/>
  <c r="F59" i="2"/>
  <c r="T59" i="2" s="1"/>
  <c r="U59" i="2" s="1"/>
  <c r="F60" i="2"/>
  <c r="T60" i="2" s="1"/>
  <c r="U60" i="2" s="1"/>
  <c r="F61" i="2"/>
  <c r="T61" i="2" s="1"/>
  <c r="U61" i="2" s="1"/>
  <c r="F62" i="2"/>
  <c r="T62" i="2" s="1"/>
  <c r="U62" i="2" s="1"/>
  <c r="F63" i="2"/>
  <c r="F64" i="2"/>
  <c r="F65" i="2"/>
  <c r="F66" i="2"/>
  <c r="T66" i="2" s="1"/>
  <c r="U66" i="2" s="1"/>
  <c r="F67" i="2"/>
  <c r="F68" i="2"/>
  <c r="F69" i="2"/>
  <c r="F70" i="2"/>
  <c r="F71" i="2"/>
  <c r="F72" i="2"/>
  <c r="F73" i="2"/>
  <c r="F74" i="2"/>
  <c r="F75" i="2"/>
  <c r="T75" i="2" s="1"/>
  <c r="U75" i="2" s="1"/>
  <c r="F76" i="2"/>
  <c r="T76" i="2" s="1"/>
  <c r="U76" i="2" s="1"/>
  <c r="F77" i="2"/>
  <c r="T77" i="2" s="1"/>
  <c r="U77" i="2" s="1"/>
  <c r="F78" i="2"/>
  <c r="F79" i="2"/>
  <c r="T79" i="2" s="1"/>
  <c r="U79" i="2" s="1"/>
  <c r="F80" i="2"/>
  <c r="T80" i="2" s="1"/>
  <c r="U80" i="2" s="1"/>
  <c r="F81" i="2"/>
  <c r="T81" i="2" s="1"/>
  <c r="U81" i="2" s="1"/>
  <c r="F82" i="2"/>
  <c r="T82" i="2" s="1"/>
  <c r="U82" i="2" s="1"/>
  <c r="F83" i="2"/>
  <c r="F84" i="2"/>
  <c r="F85" i="2"/>
  <c r="T85" i="2" s="1"/>
  <c r="U85" i="2" s="1"/>
  <c r="F86" i="2"/>
  <c r="T86" i="2" s="1"/>
  <c r="U86" i="2" s="1"/>
  <c r="F87" i="2"/>
  <c r="F88" i="2"/>
  <c r="F89" i="2"/>
  <c r="F90" i="2"/>
  <c r="F91" i="2"/>
  <c r="T91" i="2" s="1"/>
  <c r="U91" i="2" s="1"/>
  <c r="F92" i="2"/>
  <c r="F93" i="2"/>
  <c r="F94" i="2"/>
  <c r="F95" i="2"/>
  <c r="T95" i="2" s="1"/>
  <c r="U95" i="2" s="1"/>
  <c r="F96" i="2"/>
  <c r="T96" i="2" s="1"/>
  <c r="U96" i="2" s="1"/>
  <c r="F97" i="2"/>
  <c r="T97" i="2" s="1"/>
  <c r="U97" i="2" s="1"/>
  <c r="F98" i="2"/>
  <c r="T98" i="2" s="1"/>
  <c r="U98" i="2" s="1"/>
  <c r="F99" i="2"/>
  <c r="T99" i="2" s="1"/>
  <c r="U99" i="2" s="1"/>
  <c r="F100" i="2"/>
  <c r="T100" i="2" s="1"/>
  <c r="U100" i="2" s="1"/>
  <c r="F101" i="2"/>
  <c r="T101" i="2" s="1"/>
  <c r="U101" i="2" s="1"/>
  <c r="F102" i="2"/>
  <c r="T102" i="2" s="1"/>
  <c r="U102" i="2" s="1"/>
  <c r="F103" i="2"/>
  <c r="F104" i="2"/>
  <c r="F105" i="2"/>
  <c r="F106" i="2"/>
  <c r="F107" i="2"/>
  <c r="F108" i="2"/>
  <c r="F109" i="2"/>
  <c r="F110" i="2"/>
  <c r="F111" i="2"/>
  <c r="T111" i="2" s="1"/>
  <c r="U111" i="2" s="1"/>
  <c r="F112" i="2"/>
  <c r="T112" i="2" s="1"/>
  <c r="U112" i="2" s="1"/>
  <c r="F113" i="2"/>
  <c r="F114" i="2"/>
  <c r="F115" i="2"/>
  <c r="T115" i="2" s="1"/>
  <c r="U115" i="2" s="1"/>
  <c r="F116" i="2"/>
  <c r="T116" i="2" s="1"/>
  <c r="U116" i="2" s="1"/>
  <c r="F117" i="2"/>
  <c r="T117" i="2" s="1"/>
  <c r="U117" i="2" s="1"/>
  <c r="F118" i="2"/>
  <c r="F119" i="2"/>
  <c r="T119" i="2" s="1"/>
  <c r="U119" i="2" s="1"/>
  <c r="F120" i="2"/>
  <c r="T120" i="2" s="1"/>
  <c r="U120" i="2" s="1"/>
  <c r="F121" i="2"/>
  <c r="T121" i="2" s="1"/>
  <c r="U121" i="2" s="1"/>
  <c r="F122" i="2"/>
  <c r="T122" i="2" s="1"/>
  <c r="U122" i="2" s="1"/>
  <c r="F123" i="2"/>
  <c r="F124" i="2"/>
  <c r="F125" i="2"/>
  <c r="F126" i="2"/>
  <c r="T126" i="2" s="1"/>
  <c r="U126" i="2" s="1"/>
  <c r="F127" i="2"/>
  <c r="T127" i="2" s="1"/>
  <c r="U127" i="2" s="1"/>
  <c r="F128" i="2"/>
  <c r="F129" i="2"/>
  <c r="F130" i="2"/>
  <c r="F131" i="2"/>
  <c r="T131" i="2" s="1"/>
  <c r="U131" i="2" s="1"/>
  <c r="F132" i="2"/>
  <c r="F133" i="2"/>
  <c r="F134" i="2"/>
  <c r="F135" i="2"/>
  <c r="T135" i="2" s="1"/>
  <c r="U135" i="2" s="1"/>
  <c r="F136" i="2"/>
  <c r="T136" i="2" s="1"/>
  <c r="U136" i="2" s="1"/>
  <c r="F137" i="2"/>
  <c r="T137" i="2" s="1"/>
  <c r="U137" i="2" s="1"/>
  <c r="F138" i="2"/>
  <c r="T138" i="2" s="1"/>
  <c r="U138" i="2" s="1"/>
  <c r="F139" i="2"/>
  <c r="T139" i="2" s="1"/>
  <c r="U139" i="2" s="1"/>
  <c r="F140" i="2"/>
  <c r="T140" i="2" s="1"/>
  <c r="U140" i="2" s="1"/>
  <c r="F141" i="2"/>
  <c r="T141" i="2" s="1"/>
  <c r="U141" i="2" s="1"/>
  <c r="F142" i="2"/>
  <c r="T142" i="2" s="1"/>
  <c r="U142" i="2" s="1"/>
  <c r="F143" i="2"/>
  <c r="F144" i="2"/>
  <c r="F145" i="2"/>
  <c r="T145" i="2" s="1"/>
  <c r="U145" i="2" s="1"/>
  <c r="F146" i="2"/>
  <c r="T146" i="2" s="1"/>
  <c r="U146" i="2" s="1"/>
  <c r="F147" i="2"/>
  <c r="T147" i="2" s="1"/>
  <c r="U147" i="2" s="1"/>
  <c r="F148" i="2"/>
  <c r="F149" i="2"/>
  <c r="F150" i="2"/>
  <c r="F151" i="2"/>
  <c r="T151" i="2" s="1"/>
  <c r="U151" i="2" s="1"/>
  <c r="F152" i="2"/>
  <c r="T152" i="2" s="1"/>
  <c r="U152" i="2" s="1"/>
  <c r="F153" i="2"/>
  <c r="F154" i="2"/>
  <c r="F155" i="2"/>
  <c r="T155" i="2" s="1"/>
  <c r="U155" i="2" s="1"/>
  <c r="F156" i="2"/>
  <c r="T156" i="2" s="1"/>
  <c r="U156" i="2" s="1"/>
  <c r="F157" i="2"/>
  <c r="F2" i="2"/>
  <c r="T2" i="2" s="1"/>
  <c r="U2" i="2" s="1"/>
  <c r="I157" i="2"/>
  <c r="H157" i="2"/>
  <c r="G157" i="2"/>
  <c r="T157" i="2"/>
  <c r="U157" i="2" s="1"/>
  <c r="I156" i="2"/>
  <c r="H156" i="2"/>
  <c r="J156" i="2" s="1"/>
  <c r="G156" i="2"/>
  <c r="I155" i="2"/>
  <c r="H155" i="2"/>
  <c r="G155" i="2"/>
  <c r="J155" i="2" s="1"/>
  <c r="I154" i="2"/>
  <c r="H154" i="2"/>
  <c r="G154" i="2"/>
  <c r="T154" i="2"/>
  <c r="U154" i="2" s="1"/>
  <c r="T153" i="2"/>
  <c r="U153" i="2" s="1"/>
  <c r="I153" i="2"/>
  <c r="H153" i="2"/>
  <c r="G153" i="2"/>
  <c r="I152" i="2"/>
  <c r="H152" i="2"/>
  <c r="J152" i="2" s="1"/>
  <c r="G152" i="2"/>
  <c r="I151" i="2"/>
  <c r="H151" i="2"/>
  <c r="G151" i="2"/>
  <c r="I150" i="2"/>
  <c r="H150" i="2"/>
  <c r="G150" i="2"/>
  <c r="T150" i="2"/>
  <c r="U150" i="2" s="1"/>
  <c r="T149" i="2"/>
  <c r="U149" i="2" s="1"/>
  <c r="I149" i="2"/>
  <c r="J149" i="2" s="1"/>
  <c r="H149" i="2"/>
  <c r="G149" i="2"/>
  <c r="I148" i="2"/>
  <c r="H148" i="2"/>
  <c r="J148" i="2" s="1"/>
  <c r="G148" i="2"/>
  <c r="T148" i="2"/>
  <c r="U148" i="2" s="1"/>
  <c r="I147" i="2"/>
  <c r="H147" i="2"/>
  <c r="G147" i="2"/>
  <c r="I146" i="2"/>
  <c r="H146" i="2"/>
  <c r="G146" i="2"/>
  <c r="J146" i="2" s="1"/>
  <c r="I145" i="2"/>
  <c r="H145" i="2"/>
  <c r="G145" i="2"/>
  <c r="I144" i="2"/>
  <c r="H144" i="2"/>
  <c r="G144" i="2"/>
  <c r="T144" i="2"/>
  <c r="U144" i="2" s="1"/>
  <c r="I143" i="2"/>
  <c r="H143" i="2"/>
  <c r="J143" i="2" s="1"/>
  <c r="G143" i="2"/>
  <c r="T143" i="2"/>
  <c r="U143" i="2" s="1"/>
  <c r="I142" i="2"/>
  <c r="H142" i="2"/>
  <c r="G142" i="2"/>
  <c r="J142" i="2" s="1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J136" i="2" s="1"/>
  <c r="I135" i="2"/>
  <c r="H135" i="2"/>
  <c r="G135" i="2"/>
  <c r="I134" i="2"/>
  <c r="H134" i="2"/>
  <c r="G134" i="2"/>
  <c r="T134" i="2"/>
  <c r="U134" i="2" s="1"/>
  <c r="I133" i="2"/>
  <c r="H133" i="2"/>
  <c r="G133" i="2"/>
  <c r="T133" i="2"/>
  <c r="U133" i="2" s="1"/>
  <c r="T132" i="2"/>
  <c r="U132" i="2" s="1"/>
  <c r="I132" i="2"/>
  <c r="H132" i="2"/>
  <c r="G132" i="2"/>
  <c r="I131" i="2"/>
  <c r="H131" i="2"/>
  <c r="G131" i="2"/>
  <c r="I130" i="2"/>
  <c r="H130" i="2"/>
  <c r="G130" i="2"/>
  <c r="T130" i="2"/>
  <c r="U130" i="2" s="1"/>
  <c r="I129" i="2"/>
  <c r="H129" i="2"/>
  <c r="G129" i="2"/>
  <c r="J129" i="2" s="1"/>
  <c r="T129" i="2"/>
  <c r="U129" i="2" s="1"/>
  <c r="I128" i="2"/>
  <c r="H128" i="2"/>
  <c r="G128" i="2"/>
  <c r="T128" i="2"/>
  <c r="U128" i="2" s="1"/>
  <c r="I127" i="2"/>
  <c r="H127" i="2"/>
  <c r="G127" i="2"/>
  <c r="I126" i="2"/>
  <c r="H126" i="2"/>
  <c r="G126" i="2"/>
  <c r="I125" i="2"/>
  <c r="J125" i="2" s="1"/>
  <c r="H125" i="2"/>
  <c r="G125" i="2"/>
  <c r="T125" i="2"/>
  <c r="U125" i="2" s="1"/>
  <c r="I124" i="2"/>
  <c r="H124" i="2"/>
  <c r="G124" i="2"/>
  <c r="T124" i="2"/>
  <c r="U124" i="2" s="1"/>
  <c r="I123" i="2"/>
  <c r="H123" i="2"/>
  <c r="G123" i="2"/>
  <c r="T123" i="2"/>
  <c r="U123" i="2" s="1"/>
  <c r="I122" i="2"/>
  <c r="H122" i="2"/>
  <c r="J122" i="2" s="1"/>
  <c r="G122" i="2"/>
  <c r="I121" i="2"/>
  <c r="H121" i="2"/>
  <c r="G121" i="2"/>
  <c r="I120" i="2"/>
  <c r="H120" i="2"/>
  <c r="G120" i="2"/>
  <c r="I119" i="2"/>
  <c r="H119" i="2"/>
  <c r="G119" i="2"/>
  <c r="I118" i="2"/>
  <c r="H118" i="2"/>
  <c r="G118" i="2"/>
  <c r="T118" i="2"/>
  <c r="U118" i="2" s="1"/>
  <c r="I117" i="2"/>
  <c r="H117" i="2"/>
  <c r="G117" i="2"/>
  <c r="I116" i="2"/>
  <c r="H116" i="2"/>
  <c r="G116" i="2"/>
  <c r="I115" i="2"/>
  <c r="H115" i="2"/>
  <c r="G115" i="2"/>
  <c r="I114" i="2"/>
  <c r="H114" i="2"/>
  <c r="G114" i="2"/>
  <c r="T114" i="2"/>
  <c r="U114" i="2" s="1"/>
  <c r="I113" i="2"/>
  <c r="H113" i="2"/>
  <c r="G113" i="2"/>
  <c r="T113" i="2"/>
  <c r="U113" i="2" s="1"/>
  <c r="I112" i="2"/>
  <c r="H112" i="2"/>
  <c r="G112" i="2"/>
  <c r="I111" i="2"/>
  <c r="H111" i="2"/>
  <c r="G111" i="2"/>
  <c r="J111" i="2" s="1"/>
  <c r="I110" i="2"/>
  <c r="H110" i="2"/>
  <c r="G110" i="2"/>
  <c r="T110" i="2"/>
  <c r="U110" i="2" s="1"/>
  <c r="T109" i="2"/>
  <c r="U109" i="2" s="1"/>
  <c r="J109" i="2"/>
  <c r="I109" i="2"/>
  <c r="H109" i="2"/>
  <c r="G109" i="2"/>
  <c r="I108" i="2"/>
  <c r="H108" i="2"/>
  <c r="G108" i="2"/>
  <c r="T108" i="2"/>
  <c r="U108" i="2" s="1"/>
  <c r="I107" i="2"/>
  <c r="H107" i="2"/>
  <c r="G107" i="2"/>
  <c r="T107" i="2"/>
  <c r="U107" i="2" s="1"/>
  <c r="T106" i="2"/>
  <c r="U106" i="2" s="1"/>
  <c r="I106" i="2"/>
  <c r="H106" i="2"/>
  <c r="G106" i="2"/>
  <c r="J106" i="2" s="1"/>
  <c r="I105" i="2"/>
  <c r="H105" i="2"/>
  <c r="G105" i="2"/>
  <c r="T105" i="2"/>
  <c r="U105" i="2" s="1"/>
  <c r="I104" i="2"/>
  <c r="H104" i="2"/>
  <c r="G104" i="2"/>
  <c r="T104" i="2"/>
  <c r="U104" i="2" s="1"/>
  <c r="I103" i="2"/>
  <c r="H103" i="2"/>
  <c r="G103" i="2"/>
  <c r="T103" i="2"/>
  <c r="U103" i="2" s="1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J98" i="2" s="1"/>
  <c r="I97" i="2"/>
  <c r="H97" i="2"/>
  <c r="G97" i="2"/>
  <c r="I96" i="2"/>
  <c r="H96" i="2"/>
  <c r="G96" i="2"/>
  <c r="J96" i="2" s="1"/>
  <c r="I95" i="2"/>
  <c r="H95" i="2"/>
  <c r="J95" i="2" s="1"/>
  <c r="G95" i="2"/>
  <c r="I94" i="2"/>
  <c r="H94" i="2"/>
  <c r="G94" i="2"/>
  <c r="T94" i="2"/>
  <c r="U94" i="2" s="1"/>
  <c r="I93" i="2"/>
  <c r="H93" i="2"/>
  <c r="G93" i="2"/>
  <c r="T93" i="2"/>
  <c r="U93" i="2" s="1"/>
  <c r="T92" i="2"/>
  <c r="U92" i="2" s="1"/>
  <c r="I92" i="2"/>
  <c r="H92" i="2"/>
  <c r="G92" i="2"/>
  <c r="I91" i="2"/>
  <c r="H91" i="2"/>
  <c r="G91" i="2"/>
  <c r="I90" i="2"/>
  <c r="H90" i="2"/>
  <c r="G90" i="2"/>
  <c r="T90" i="2"/>
  <c r="U90" i="2" s="1"/>
  <c r="T89" i="2"/>
  <c r="U89" i="2" s="1"/>
  <c r="I89" i="2"/>
  <c r="H89" i="2"/>
  <c r="J89" i="2" s="1"/>
  <c r="G89" i="2"/>
  <c r="I88" i="2"/>
  <c r="H88" i="2"/>
  <c r="G88" i="2"/>
  <c r="T88" i="2"/>
  <c r="U88" i="2" s="1"/>
  <c r="I87" i="2"/>
  <c r="H87" i="2"/>
  <c r="G87" i="2"/>
  <c r="T87" i="2"/>
  <c r="U87" i="2" s="1"/>
  <c r="I86" i="2"/>
  <c r="H86" i="2"/>
  <c r="G86" i="2"/>
  <c r="I85" i="2"/>
  <c r="H85" i="2"/>
  <c r="G85" i="2"/>
  <c r="I84" i="2"/>
  <c r="H84" i="2"/>
  <c r="G84" i="2"/>
  <c r="T84" i="2"/>
  <c r="U84" i="2" s="1"/>
  <c r="I83" i="2"/>
  <c r="H83" i="2"/>
  <c r="G83" i="2"/>
  <c r="T83" i="2"/>
  <c r="U83" i="2" s="1"/>
  <c r="I82" i="2"/>
  <c r="H82" i="2"/>
  <c r="G82" i="2"/>
  <c r="J82" i="2" s="1"/>
  <c r="I81" i="2"/>
  <c r="H81" i="2"/>
  <c r="G81" i="2"/>
  <c r="J81" i="2" s="1"/>
  <c r="I80" i="2"/>
  <c r="H80" i="2"/>
  <c r="G80" i="2"/>
  <c r="I79" i="2"/>
  <c r="H79" i="2"/>
  <c r="G79" i="2"/>
  <c r="I78" i="2"/>
  <c r="H78" i="2"/>
  <c r="G78" i="2"/>
  <c r="T78" i="2"/>
  <c r="U78" i="2" s="1"/>
  <c r="I77" i="2"/>
  <c r="H77" i="2"/>
  <c r="G77" i="2"/>
  <c r="I76" i="2"/>
  <c r="H76" i="2"/>
  <c r="G76" i="2"/>
  <c r="I75" i="2"/>
  <c r="H75" i="2"/>
  <c r="G75" i="2"/>
  <c r="I74" i="2"/>
  <c r="H74" i="2"/>
  <c r="G74" i="2"/>
  <c r="T74" i="2"/>
  <c r="U74" i="2" s="1"/>
  <c r="I73" i="2"/>
  <c r="H73" i="2"/>
  <c r="G73" i="2"/>
  <c r="J73" i="2" s="1"/>
  <c r="T73" i="2"/>
  <c r="U73" i="2" s="1"/>
  <c r="I72" i="2"/>
  <c r="H72" i="2"/>
  <c r="G72" i="2"/>
  <c r="T72" i="2"/>
  <c r="U72" i="2" s="1"/>
  <c r="I71" i="2"/>
  <c r="H71" i="2"/>
  <c r="G71" i="2"/>
  <c r="T71" i="2"/>
  <c r="U71" i="2" s="1"/>
  <c r="I70" i="2"/>
  <c r="H70" i="2"/>
  <c r="G70" i="2"/>
  <c r="T70" i="2"/>
  <c r="U70" i="2" s="1"/>
  <c r="J69" i="2"/>
  <c r="I69" i="2"/>
  <c r="H69" i="2"/>
  <c r="G69" i="2"/>
  <c r="T69" i="2"/>
  <c r="U69" i="2" s="1"/>
  <c r="I68" i="2"/>
  <c r="H68" i="2"/>
  <c r="G68" i="2"/>
  <c r="T68" i="2"/>
  <c r="U68" i="2" s="1"/>
  <c r="I67" i="2"/>
  <c r="H67" i="2"/>
  <c r="G67" i="2"/>
  <c r="T67" i="2"/>
  <c r="U67" i="2" s="1"/>
  <c r="I66" i="2"/>
  <c r="H66" i="2"/>
  <c r="G66" i="2"/>
  <c r="I65" i="2"/>
  <c r="H65" i="2"/>
  <c r="G65" i="2"/>
  <c r="T65" i="2"/>
  <c r="U65" i="2" s="1"/>
  <c r="I64" i="2"/>
  <c r="H64" i="2"/>
  <c r="G64" i="2"/>
  <c r="T64" i="2"/>
  <c r="U64" i="2" s="1"/>
  <c r="I63" i="2"/>
  <c r="H63" i="2"/>
  <c r="G63" i="2"/>
  <c r="T63" i="2"/>
  <c r="U63" i="2" s="1"/>
  <c r="I62" i="2"/>
  <c r="H62" i="2"/>
  <c r="G62" i="2"/>
  <c r="J62" i="2" s="1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J55" i="2" s="1"/>
  <c r="G55" i="2"/>
  <c r="T55" i="2"/>
  <c r="U55" i="2" s="1"/>
  <c r="I54" i="2"/>
  <c r="H54" i="2"/>
  <c r="G54" i="2"/>
  <c r="T54" i="2"/>
  <c r="U54" i="2" s="1"/>
  <c r="T53" i="2"/>
  <c r="U53" i="2" s="1"/>
  <c r="I53" i="2"/>
  <c r="H53" i="2"/>
  <c r="G53" i="2"/>
  <c r="I52" i="2"/>
  <c r="H52" i="2"/>
  <c r="G52" i="2"/>
  <c r="T52" i="2"/>
  <c r="U52" i="2" s="1"/>
  <c r="I51" i="2"/>
  <c r="H51" i="2"/>
  <c r="G51" i="2"/>
  <c r="T51" i="2"/>
  <c r="U51" i="2" s="1"/>
  <c r="I50" i="2"/>
  <c r="H50" i="2"/>
  <c r="G50" i="2"/>
  <c r="T50" i="2"/>
  <c r="U50" i="2" s="1"/>
  <c r="I49" i="2"/>
  <c r="H49" i="2"/>
  <c r="G49" i="2"/>
  <c r="J49" i="2" s="1"/>
  <c r="T49" i="2"/>
  <c r="U49" i="2" s="1"/>
  <c r="I48" i="2"/>
  <c r="H48" i="2"/>
  <c r="J48" i="2" s="1"/>
  <c r="G48" i="2"/>
  <c r="T48" i="2"/>
  <c r="U48" i="2" s="1"/>
  <c r="I47" i="2"/>
  <c r="H47" i="2"/>
  <c r="G47" i="2"/>
  <c r="J47" i="2" s="1"/>
  <c r="T47" i="2"/>
  <c r="U47" i="2" s="1"/>
  <c r="I46" i="2"/>
  <c r="H46" i="2"/>
  <c r="G46" i="2"/>
  <c r="T46" i="2"/>
  <c r="U46" i="2" s="1"/>
  <c r="T45" i="2"/>
  <c r="U45" i="2" s="1"/>
  <c r="I45" i="2"/>
  <c r="H45" i="2"/>
  <c r="G45" i="2"/>
  <c r="I44" i="2"/>
  <c r="H44" i="2"/>
  <c r="G44" i="2"/>
  <c r="T44" i="2"/>
  <c r="U44" i="2" s="1"/>
  <c r="I43" i="2"/>
  <c r="H43" i="2"/>
  <c r="J43" i="2" s="1"/>
  <c r="G43" i="2"/>
  <c r="T43" i="2"/>
  <c r="U43" i="2" s="1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J36" i="2" s="1"/>
  <c r="I35" i="2"/>
  <c r="H35" i="2"/>
  <c r="J35" i="2" s="1"/>
  <c r="G35" i="2"/>
  <c r="T35" i="2"/>
  <c r="U35" i="2" s="1"/>
  <c r="I34" i="2"/>
  <c r="H34" i="2"/>
  <c r="G34" i="2"/>
  <c r="T34" i="2"/>
  <c r="U34" i="2" s="1"/>
  <c r="I33" i="2"/>
  <c r="H33" i="2"/>
  <c r="G33" i="2"/>
  <c r="J33" i="2" s="1"/>
  <c r="T33" i="2"/>
  <c r="U33" i="2" s="1"/>
  <c r="T32" i="2"/>
  <c r="U32" i="2" s="1"/>
  <c r="I32" i="2"/>
  <c r="J32" i="2" s="1"/>
  <c r="H32" i="2"/>
  <c r="G32" i="2"/>
  <c r="I31" i="2"/>
  <c r="H31" i="2"/>
  <c r="G31" i="2"/>
  <c r="T31" i="2"/>
  <c r="U31" i="2" s="1"/>
  <c r="I30" i="2"/>
  <c r="H30" i="2"/>
  <c r="G30" i="2"/>
  <c r="T30" i="2"/>
  <c r="U30" i="2" s="1"/>
  <c r="J29" i="2"/>
  <c r="I29" i="2"/>
  <c r="H29" i="2"/>
  <c r="G29" i="2"/>
  <c r="T29" i="2"/>
  <c r="U29" i="2" s="1"/>
  <c r="I28" i="2"/>
  <c r="H28" i="2"/>
  <c r="J28" i="2" s="1"/>
  <c r="G28" i="2"/>
  <c r="T28" i="2"/>
  <c r="U28" i="2" s="1"/>
  <c r="I27" i="2"/>
  <c r="H27" i="2"/>
  <c r="G27" i="2"/>
  <c r="T27" i="2"/>
  <c r="U27" i="2" s="1"/>
  <c r="I26" i="2"/>
  <c r="H26" i="2"/>
  <c r="G26" i="2"/>
  <c r="J26" i="2" s="1"/>
  <c r="T26" i="2"/>
  <c r="U26" i="2" s="1"/>
  <c r="I25" i="2"/>
  <c r="H25" i="2"/>
  <c r="G25" i="2"/>
  <c r="T25" i="2"/>
  <c r="U25" i="2" s="1"/>
  <c r="I24" i="2"/>
  <c r="H24" i="2"/>
  <c r="G24" i="2"/>
  <c r="T24" i="2"/>
  <c r="U24" i="2" s="1"/>
  <c r="I23" i="2"/>
  <c r="H23" i="2"/>
  <c r="G23" i="2"/>
  <c r="T23" i="2"/>
  <c r="U23" i="2" s="1"/>
  <c r="I22" i="2"/>
  <c r="H22" i="2"/>
  <c r="G22" i="2"/>
  <c r="J22" i="2" s="1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J17" i="2" s="1"/>
  <c r="I16" i="2"/>
  <c r="H16" i="2"/>
  <c r="G16" i="2"/>
  <c r="J16" i="2" s="1"/>
  <c r="T15" i="2"/>
  <c r="U15" i="2" s="1"/>
  <c r="I15" i="2"/>
  <c r="H15" i="2"/>
  <c r="G15" i="2"/>
  <c r="T14" i="2"/>
  <c r="U14" i="2" s="1"/>
  <c r="I14" i="2"/>
  <c r="H14" i="2"/>
  <c r="G14" i="2"/>
  <c r="T13" i="2"/>
  <c r="U13" i="2" s="1"/>
  <c r="I13" i="2"/>
  <c r="H13" i="2"/>
  <c r="G13" i="2"/>
  <c r="T12" i="2"/>
  <c r="U12" i="2" s="1"/>
  <c r="I12" i="2"/>
  <c r="H12" i="2"/>
  <c r="G12" i="2"/>
  <c r="T11" i="2"/>
  <c r="U11" i="2" s="1"/>
  <c r="I11" i="2"/>
  <c r="H11" i="2"/>
  <c r="G11" i="2"/>
  <c r="T10" i="2"/>
  <c r="U10" i="2" s="1"/>
  <c r="I10" i="2"/>
  <c r="H10" i="2"/>
  <c r="G10" i="2"/>
  <c r="T9" i="2"/>
  <c r="U9" i="2" s="1"/>
  <c r="I9" i="2"/>
  <c r="H9" i="2"/>
  <c r="G9" i="2"/>
  <c r="T8" i="2"/>
  <c r="U8" i="2" s="1"/>
  <c r="I8" i="2"/>
  <c r="H8" i="2"/>
  <c r="G8" i="2"/>
  <c r="T7" i="2"/>
  <c r="U7" i="2" s="1"/>
  <c r="I7" i="2"/>
  <c r="H7" i="2"/>
  <c r="G7" i="2"/>
  <c r="T6" i="2"/>
  <c r="U6" i="2" s="1"/>
  <c r="I6" i="2"/>
  <c r="H6" i="2"/>
  <c r="G6" i="2"/>
  <c r="J6" i="2" s="1"/>
  <c r="T5" i="2"/>
  <c r="U5" i="2" s="1"/>
  <c r="I5" i="2"/>
  <c r="H5" i="2"/>
  <c r="G5" i="2"/>
  <c r="T4" i="2"/>
  <c r="U4" i="2" s="1"/>
  <c r="I4" i="2"/>
  <c r="H4" i="2"/>
  <c r="G4" i="2"/>
  <c r="T3" i="2"/>
  <c r="U3" i="2" s="1"/>
  <c r="I3" i="2"/>
  <c r="H3" i="2"/>
  <c r="G3" i="2"/>
  <c r="I2" i="2"/>
  <c r="H2" i="2"/>
  <c r="G2" i="2"/>
  <c r="J4" i="2" l="1"/>
  <c r="J14" i="2"/>
  <c r="J19" i="2"/>
  <c r="J30" i="2"/>
  <c r="J56" i="2"/>
  <c r="J157" i="2"/>
  <c r="J63" i="2"/>
  <c r="J102" i="2"/>
  <c r="J135" i="2"/>
  <c r="J42" i="2"/>
  <c r="J79" i="2"/>
  <c r="J85" i="2"/>
  <c r="J64" i="2"/>
  <c r="J103" i="2"/>
  <c r="J75" i="2"/>
  <c r="J76" i="2"/>
  <c r="J93" i="2"/>
  <c r="J132" i="2"/>
  <c r="J88" i="2"/>
  <c r="J116" i="2"/>
  <c r="J13" i="2"/>
  <c r="J83" i="2"/>
  <c r="J94" i="2"/>
  <c r="J60" i="2"/>
  <c r="J77" i="2"/>
  <c r="J90" i="2"/>
  <c r="J107" i="2"/>
  <c r="J124" i="2"/>
  <c r="J141" i="2"/>
  <c r="J145" i="2"/>
  <c r="J86" i="2"/>
  <c r="J133" i="2"/>
  <c r="J154" i="2"/>
  <c r="J128" i="2"/>
  <c r="J18" i="2"/>
  <c r="J31" i="2"/>
  <c r="J52" i="2"/>
  <c r="J120" i="2"/>
  <c r="J137" i="2"/>
  <c r="J150" i="2"/>
  <c r="J39" i="2"/>
  <c r="J27" i="2"/>
  <c r="J44" i="2"/>
  <c r="J61" i="2"/>
  <c r="J65" i="2"/>
  <c r="J74" i="2"/>
  <c r="J78" i="2"/>
  <c r="J91" i="2"/>
  <c r="J112" i="2"/>
  <c r="J10" i="2"/>
  <c r="J53" i="2"/>
  <c r="J99" i="2"/>
  <c r="J108" i="2"/>
  <c r="J40" i="2"/>
  <c r="J70" i="2"/>
  <c r="J87" i="2"/>
  <c r="J104" i="2"/>
  <c r="J121" i="2"/>
  <c r="J134" i="2"/>
  <c r="J138" i="2"/>
  <c r="J151" i="2"/>
  <c r="J57" i="2"/>
  <c r="J15" i="2"/>
  <c r="J23" i="2"/>
  <c r="J66" i="2"/>
  <c r="J113" i="2"/>
  <c r="J100" i="2"/>
  <c r="J117" i="2"/>
  <c r="J130" i="2"/>
  <c r="J147" i="2"/>
  <c r="J11" i="2"/>
  <c r="J126" i="2"/>
  <c r="J24" i="2"/>
  <c r="J41" i="2"/>
  <c r="J45" i="2"/>
  <c r="J54" i="2"/>
  <c r="J58" i="2"/>
  <c r="J71" i="2"/>
  <c r="J92" i="2"/>
  <c r="J119" i="2"/>
  <c r="J20" i="2"/>
  <c r="J37" i="2"/>
  <c r="J50" i="2"/>
  <c r="J67" i="2"/>
  <c r="J84" i="2"/>
  <c r="J101" i="2"/>
  <c r="J105" i="2"/>
  <c r="J114" i="2"/>
  <c r="J118" i="2"/>
  <c r="J131" i="2"/>
  <c r="J2" i="2"/>
  <c r="J139" i="2"/>
  <c r="J46" i="2"/>
  <c r="J80" i="2"/>
  <c r="J97" i="2"/>
  <c r="J110" i="2"/>
  <c r="J127" i="2"/>
  <c r="J144" i="2"/>
  <c r="J21" i="2"/>
  <c r="J38" i="2"/>
  <c r="J51" i="2"/>
  <c r="J72" i="2"/>
  <c r="J140" i="2"/>
  <c r="J153" i="2"/>
  <c r="J25" i="2"/>
  <c r="J34" i="2"/>
  <c r="J3" i="2"/>
  <c r="J59" i="2"/>
  <c r="J68" i="2"/>
  <c r="J115" i="2"/>
  <c r="J123" i="2"/>
  <c r="J7" i="2"/>
  <c r="J12" i="2"/>
  <c r="J9" i="2"/>
  <c r="J8" i="2"/>
  <c r="J5" i="2"/>
</calcChain>
</file>

<file path=xl/sharedStrings.xml><?xml version="1.0" encoding="utf-8"?>
<sst xmlns="http://schemas.openxmlformats.org/spreadsheetml/2006/main" count="21" uniqueCount="21">
  <si>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</si>
  <si>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</si>
  <si>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</si>
  <si>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</si>
  <si>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</si>
  <si>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</si>
  <si>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</si>
  <si>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</si>
  <si>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</si>
  <si>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</si>
  <si>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</si>
  <si>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</si>
  <si>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</si>
  <si>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</si>
  <si>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d0opt(s/veh)</t>
  </si>
  <si>
    <t>d1opt(s/veh)</t>
  </si>
  <si>
    <t>d2opt(s/veh)</t>
  </si>
  <si>
    <t>d3opt(s/veh)</t>
  </si>
  <si>
    <t>dopt(s/veh)</t>
  </si>
  <si>
    <t>FTT(s/veh)</t>
  </si>
  <si>
    <t>TTT(s/veh)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</si>
</sst>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7"/>
  <sheetViews>
    <sheetView tabSelected="1" zoomScale="112" zoomScaleNormal="112" workbookViewId="0">
      <selection activeCell="Z6" sqref="Z6"/>
    </sheetView>
  </sheetViews>
  <sheetFormatPr defaultRowHeight="18" x14ac:dyDescent="0.55000000000000004"/>
  <cols>
    <col min="15" max="15" width="12.25" style="1" customWidth="1"/>
    <col min="16" max="16" width="11.33203125" style="1" customWidth="1"/>
    <col min="17" max="17" width="13.4140625" style="1" customWidth="1"/>
    <col min="18" max="18" width="11.6640625" style="1" customWidth="1"/>
    <col min="19" max="19" width="11.58203125" style="1" customWidth="1"/>
    <col min="20" max="20" width="12.9140625" style="1" customWidth="1"/>
    <col min="21" max="21" width="11.08203125" style="1" customWidth="1"/>
  </cols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>
        <v>311</v>
      </c>
      <c r="B2">
        <v>50</v>
      </c>
      <c r="C2">
        <v>104.16666666666676</v>
      </c>
      <c r="D2">
        <v>125</v>
      </c>
      <c r="E2">
        <v>104.16666666666667</v>
      </c>
      <c r="F2">
        <f>SUM(C2:E2)</f>
        <v>333.33333333333343</v>
      </c>
      <c r="G2">
        <f t="shared" ref="G2:G33" si="0">C2/(120*$B2*1000/3600)</f>
        <v>6.2500000000000056E-2</v>
      </c>
      <c r="H2">
        <f t="shared" ref="H2:H33" si="1">D2/(120*$B2*1000/3600)</f>
        <v>7.4999999999999997E-2</v>
      </c>
      <c r="I2">
        <f t="shared" ref="I2:I33" si="2">E2/(120*$B2*1000/3600)</f>
        <v>6.25E-2</v>
      </c>
      <c r="J2">
        <f t="shared" ref="J2:J33" si="3">SUM(G2:I2)</f>
        <v>0.20000000000000007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f t="shared" ref="T2:T33" si="4">F2/B2*1000/3600</f>
        <v>1.8518518518518525</v>
      </c>
      <c r="U2">
        <f t="shared" ref="U2:U33" si="5">S2+T2</f>
        <v>1.8518518518518525</v>
      </c>
    </row>
    <row r="3" spans="1:21" x14ac:dyDescent="0.55000000000000004">
      <c r="A3">
        <v>311</v>
      </c>
      <c r="B3">
        <v>47.5</v>
      </c>
      <c r="C3">
        <v>104.16666666666667</v>
      </c>
      <c r="D3">
        <v>125</v>
      </c>
      <c r="E3">
        <v>104.16666666666667</v>
      </c>
      <c r="F3">
        <f t="shared" ref="F3:F66" si="6">SUM(C3:E3)</f>
        <v>333.33333333333337</v>
      </c>
      <c r="G3">
        <f t="shared" si="0"/>
        <v>6.5789473684210537E-2</v>
      </c>
      <c r="H3">
        <f t="shared" si="1"/>
        <v>7.8947368421052641E-2</v>
      </c>
      <c r="I3">
        <f t="shared" si="2"/>
        <v>6.5789473684210537E-2</v>
      </c>
      <c r="J3">
        <f t="shared" si="3"/>
        <v>0.2105263157894737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 t="shared" si="4"/>
        <v>1.9493177387914231</v>
      </c>
      <c r="U3">
        <f t="shared" si="5"/>
        <v>1.9493177387914231</v>
      </c>
    </row>
    <row r="4" spans="1:21" x14ac:dyDescent="0.55000000000000004">
      <c r="A4">
        <v>311</v>
      </c>
      <c r="B4">
        <v>45</v>
      </c>
      <c r="C4">
        <v>104.1666666666665</v>
      </c>
      <c r="D4">
        <v>125</v>
      </c>
      <c r="E4">
        <v>104.16666666666676</v>
      </c>
      <c r="F4">
        <f t="shared" si="6"/>
        <v>333.33333333333326</v>
      </c>
      <c r="G4">
        <f t="shared" si="0"/>
        <v>6.9444444444444337E-2</v>
      </c>
      <c r="H4">
        <f t="shared" si="1"/>
        <v>8.3333333333333329E-2</v>
      </c>
      <c r="I4">
        <f t="shared" si="2"/>
        <v>6.9444444444444503E-2</v>
      </c>
      <c r="J4">
        <f t="shared" si="3"/>
        <v>0.22222222222222218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si="4"/>
        <v>2.0576131687242794</v>
      </c>
      <c r="U4">
        <f t="shared" si="5"/>
        <v>2.0576131687242794</v>
      </c>
    </row>
    <row r="5" spans="1:21" x14ac:dyDescent="0.55000000000000004">
      <c r="A5">
        <v>311</v>
      </c>
      <c r="B5">
        <v>42.5</v>
      </c>
      <c r="C5">
        <v>104.1666666666665</v>
      </c>
      <c r="D5">
        <v>125</v>
      </c>
      <c r="E5">
        <v>104.16666666666676</v>
      </c>
      <c r="F5">
        <f t="shared" si="6"/>
        <v>333.33333333333326</v>
      </c>
      <c r="G5">
        <f t="shared" si="0"/>
        <v>7.352941176470576E-2</v>
      </c>
      <c r="H5">
        <f t="shared" si="1"/>
        <v>8.8235294117647051E-2</v>
      </c>
      <c r="I5">
        <f t="shared" si="2"/>
        <v>7.352941176470594E-2</v>
      </c>
      <c r="J5">
        <f t="shared" si="3"/>
        <v>0.23529411764705876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si="4"/>
        <v>2.1786492374727664</v>
      </c>
      <c r="U5">
        <f t="shared" si="5"/>
        <v>2.1786492374727664</v>
      </c>
    </row>
    <row r="6" spans="1:21" x14ac:dyDescent="0.55000000000000004">
      <c r="A6">
        <v>311</v>
      </c>
      <c r="B6">
        <v>40</v>
      </c>
      <c r="C6">
        <v>104.1666666666665</v>
      </c>
      <c r="D6">
        <v>125</v>
      </c>
      <c r="E6">
        <v>104.16666666666676</v>
      </c>
      <c r="F6">
        <f t="shared" si="6"/>
        <v>333.33333333333326</v>
      </c>
      <c r="G6">
        <f t="shared" si="0"/>
        <v>7.8124999999999875E-2</v>
      </c>
      <c r="H6">
        <f t="shared" si="1"/>
        <v>9.375E-2</v>
      </c>
      <c r="I6">
        <f t="shared" si="2"/>
        <v>7.8125000000000069E-2</v>
      </c>
      <c r="J6">
        <f t="shared" si="3"/>
        <v>0.24999999999999994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4"/>
        <v>2.3148148148148144</v>
      </c>
      <c r="U6">
        <f t="shared" si="5"/>
        <v>2.3148148148148144</v>
      </c>
    </row>
    <row r="7" spans="1:21" x14ac:dyDescent="0.55000000000000004">
      <c r="A7">
        <v>311</v>
      </c>
      <c r="B7">
        <v>37.5</v>
      </c>
      <c r="C7">
        <v>104.16666666666625</v>
      </c>
      <c r="D7">
        <v>125</v>
      </c>
      <c r="E7">
        <v>104.16666666666676</v>
      </c>
      <c r="F7">
        <f t="shared" si="6"/>
        <v>333.33333333333297</v>
      </c>
      <c r="G7">
        <f t="shared" si="0"/>
        <v>8.3333333333332996E-2</v>
      </c>
      <c r="H7">
        <f t="shared" si="1"/>
        <v>0.1</v>
      </c>
      <c r="I7">
        <f t="shared" si="2"/>
        <v>8.3333333333333412E-2</v>
      </c>
      <c r="J7">
        <f t="shared" si="3"/>
        <v>0.26666666666666644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4"/>
        <v>2.4691358024691326</v>
      </c>
      <c r="U7">
        <f t="shared" si="5"/>
        <v>2.4691358024691326</v>
      </c>
    </row>
    <row r="8" spans="1:21" x14ac:dyDescent="0.55000000000000004">
      <c r="A8">
        <v>311</v>
      </c>
      <c r="B8">
        <v>35</v>
      </c>
      <c r="C8">
        <v>104.16666666666625</v>
      </c>
      <c r="D8">
        <v>125</v>
      </c>
      <c r="E8">
        <v>104.16666666666676</v>
      </c>
      <c r="F8">
        <f t="shared" si="6"/>
        <v>333.33333333333297</v>
      </c>
      <c r="G8">
        <f t="shared" si="0"/>
        <v>8.9285714285713913E-2</v>
      </c>
      <c r="H8">
        <f t="shared" si="1"/>
        <v>0.10714285714285714</v>
      </c>
      <c r="I8">
        <f t="shared" si="2"/>
        <v>8.9285714285714357E-2</v>
      </c>
      <c r="J8">
        <f t="shared" si="3"/>
        <v>0.28571428571428542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4"/>
        <v>2.6455026455026429</v>
      </c>
      <c r="U8">
        <f t="shared" si="5"/>
        <v>2.6455026455026429</v>
      </c>
    </row>
    <row r="9" spans="1:21" x14ac:dyDescent="0.55000000000000004">
      <c r="A9">
        <v>311</v>
      </c>
      <c r="B9">
        <v>32.5</v>
      </c>
      <c r="C9">
        <v>104.16666666666625</v>
      </c>
      <c r="D9">
        <v>125</v>
      </c>
      <c r="E9">
        <v>104.16666666666676</v>
      </c>
      <c r="F9">
        <f t="shared" si="6"/>
        <v>333.33333333333297</v>
      </c>
      <c r="G9">
        <f t="shared" si="0"/>
        <v>9.6153846153845771E-2</v>
      </c>
      <c r="H9">
        <f t="shared" si="1"/>
        <v>0.11538461538461539</v>
      </c>
      <c r="I9">
        <f t="shared" si="2"/>
        <v>9.6153846153846242E-2</v>
      </c>
      <c r="J9">
        <f t="shared" si="3"/>
        <v>0.30769230769230743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f t="shared" si="4"/>
        <v>2.8490028490028458</v>
      </c>
      <c r="U9">
        <f t="shared" si="5"/>
        <v>2.8490028490028458</v>
      </c>
    </row>
    <row r="10" spans="1:21" x14ac:dyDescent="0.55000000000000004">
      <c r="A10">
        <v>311</v>
      </c>
      <c r="B10">
        <v>30</v>
      </c>
      <c r="C10">
        <v>104.166666666666</v>
      </c>
      <c r="D10">
        <v>125</v>
      </c>
      <c r="E10">
        <v>104.16666666666676</v>
      </c>
      <c r="F10">
        <f t="shared" si="6"/>
        <v>333.33333333333275</v>
      </c>
      <c r="G10">
        <f t="shared" si="0"/>
        <v>0.10416666666666601</v>
      </c>
      <c r="H10">
        <f t="shared" si="1"/>
        <v>0.125</v>
      </c>
      <c r="I10">
        <f t="shared" si="2"/>
        <v>0.10416666666666675</v>
      </c>
      <c r="J10">
        <f t="shared" si="3"/>
        <v>0.33333333333333276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f t="shared" si="4"/>
        <v>3.0864197530864144</v>
      </c>
      <c r="U10">
        <f t="shared" si="5"/>
        <v>3.0864197530864144</v>
      </c>
    </row>
    <row r="11" spans="1:21" x14ac:dyDescent="0.55000000000000004">
      <c r="A11">
        <v>311</v>
      </c>
      <c r="B11">
        <v>27.5</v>
      </c>
      <c r="C11">
        <v>104.166666666666</v>
      </c>
      <c r="D11">
        <v>125</v>
      </c>
      <c r="E11">
        <v>104.16666666666676</v>
      </c>
      <c r="F11">
        <f t="shared" si="6"/>
        <v>333.33333333333275</v>
      </c>
      <c r="G11">
        <f t="shared" si="0"/>
        <v>0.11363636363636291</v>
      </c>
      <c r="H11">
        <f t="shared" si="1"/>
        <v>0.13636363636363638</v>
      </c>
      <c r="I11">
        <f t="shared" si="2"/>
        <v>0.11363636363636374</v>
      </c>
      <c r="J11">
        <f t="shared" si="3"/>
        <v>0.36363636363636304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 t="shared" si="4"/>
        <v>3.367003367003361</v>
      </c>
      <c r="U11">
        <f t="shared" si="5"/>
        <v>3.367003367003361</v>
      </c>
    </row>
    <row r="12" spans="1:21" x14ac:dyDescent="0.55000000000000004">
      <c r="A12">
        <v>311</v>
      </c>
      <c r="B12">
        <v>25</v>
      </c>
      <c r="C12">
        <v>104.166666666666</v>
      </c>
      <c r="D12">
        <v>125</v>
      </c>
      <c r="E12">
        <v>104.16666666666676</v>
      </c>
      <c r="F12">
        <f t="shared" si="6"/>
        <v>333.33333333333275</v>
      </c>
      <c r="G12">
        <f t="shared" si="0"/>
        <v>0.1249999999999992</v>
      </c>
      <c r="H12">
        <f t="shared" si="1"/>
        <v>0.15</v>
      </c>
      <c r="I12">
        <f t="shared" si="2"/>
        <v>0.12500000000000011</v>
      </c>
      <c r="J12">
        <f t="shared" si="3"/>
        <v>0.3999999999999993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f t="shared" si="4"/>
        <v>3.7037037037036966</v>
      </c>
      <c r="U12">
        <f t="shared" si="5"/>
        <v>3.7037037037036966</v>
      </c>
    </row>
    <row r="13" spans="1:21" x14ac:dyDescent="0.55000000000000004">
      <c r="A13">
        <v>311</v>
      </c>
      <c r="B13">
        <v>22.5</v>
      </c>
      <c r="C13">
        <v>104.16666666666575</v>
      </c>
      <c r="D13">
        <v>125</v>
      </c>
      <c r="E13">
        <v>104.16666666666676</v>
      </c>
      <c r="F13">
        <f t="shared" si="6"/>
        <v>333.33333333333252</v>
      </c>
      <c r="G13">
        <f t="shared" si="0"/>
        <v>0.13888888888888767</v>
      </c>
      <c r="H13">
        <f t="shared" si="1"/>
        <v>0.16666666666666666</v>
      </c>
      <c r="I13">
        <f t="shared" si="2"/>
        <v>0.13888888888888901</v>
      </c>
      <c r="J13">
        <f t="shared" si="3"/>
        <v>0.44444444444444337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f t="shared" si="4"/>
        <v>4.1152263374485498</v>
      </c>
      <c r="U13">
        <f t="shared" si="5"/>
        <v>4.1152263374485498</v>
      </c>
    </row>
    <row r="14" spans="1:21" x14ac:dyDescent="0.55000000000000004">
      <c r="A14">
        <v>311</v>
      </c>
      <c r="B14">
        <v>20</v>
      </c>
      <c r="C14">
        <v>104.16666666666575</v>
      </c>
      <c r="D14">
        <v>125</v>
      </c>
      <c r="E14">
        <v>104.16666666666676</v>
      </c>
      <c r="F14">
        <f t="shared" si="6"/>
        <v>333.33333333333252</v>
      </c>
      <c r="G14">
        <f t="shared" si="0"/>
        <v>0.15624999999999864</v>
      </c>
      <c r="H14">
        <f t="shared" si="1"/>
        <v>0.1875</v>
      </c>
      <c r="I14">
        <f t="shared" si="2"/>
        <v>0.15625000000000014</v>
      </c>
      <c r="J14">
        <f t="shared" si="3"/>
        <v>0.49999999999999878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4"/>
        <v>4.6296296296296182</v>
      </c>
      <c r="U14">
        <f t="shared" si="5"/>
        <v>4.6296296296296182</v>
      </c>
    </row>
    <row r="15" spans="1:21" x14ac:dyDescent="0.55000000000000004">
      <c r="A15">
        <v>312</v>
      </c>
      <c r="B15">
        <v>50</v>
      </c>
      <c r="C15">
        <v>145.83333333333334</v>
      </c>
      <c r="D15">
        <v>125</v>
      </c>
      <c r="E15">
        <v>145.83333333333334</v>
      </c>
      <c r="F15">
        <f t="shared" si="6"/>
        <v>416.66666666666674</v>
      </c>
      <c r="G15">
        <f t="shared" si="0"/>
        <v>8.7500000000000008E-2</v>
      </c>
      <c r="H15">
        <f t="shared" si="1"/>
        <v>7.4999999999999997E-2</v>
      </c>
      <c r="I15">
        <f t="shared" si="2"/>
        <v>8.7500000000000008E-2</v>
      </c>
      <c r="J15">
        <f t="shared" si="3"/>
        <v>0.25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4"/>
        <v>2.3148148148148153</v>
      </c>
      <c r="U15">
        <f t="shared" si="5"/>
        <v>2.3148148148148153</v>
      </c>
    </row>
    <row r="16" spans="1:21" x14ac:dyDescent="0.55000000000000004">
      <c r="A16">
        <v>312</v>
      </c>
      <c r="B16">
        <v>47.5</v>
      </c>
      <c r="C16">
        <v>145.83333333333334</v>
      </c>
      <c r="D16">
        <v>125</v>
      </c>
      <c r="E16">
        <v>145.83333333333334</v>
      </c>
      <c r="F16">
        <f t="shared" si="6"/>
        <v>416.66666666666674</v>
      </c>
      <c r="G16">
        <f t="shared" si="0"/>
        <v>9.2105263157894746E-2</v>
      </c>
      <c r="H16">
        <f t="shared" si="1"/>
        <v>7.8947368421052641E-2</v>
      </c>
      <c r="I16">
        <f t="shared" si="2"/>
        <v>9.2105263157894746E-2</v>
      </c>
      <c r="J16">
        <f t="shared" si="3"/>
        <v>0.26315789473684215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f t="shared" si="4"/>
        <v>2.4366471734892796</v>
      </c>
      <c r="U16">
        <f t="shared" si="5"/>
        <v>2.4366471734892796</v>
      </c>
    </row>
    <row r="17" spans="1:21" x14ac:dyDescent="0.55000000000000004">
      <c r="A17">
        <v>312</v>
      </c>
      <c r="B17">
        <v>45</v>
      </c>
      <c r="C17">
        <v>145.83333333333334</v>
      </c>
      <c r="D17">
        <v>125</v>
      </c>
      <c r="E17">
        <v>145.83333333333334</v>
      </c>
      <c r="F17">
        <f t="shared" si="6"/>
        <v>416.66666666666674</v>
      </c>
      <c r="G17">
        <f t="shared" si="0"/>
        <v>9.7222222222222224E-2</v>
      </c>
      <c r="H17">
        <f t="shared" si="1"/>
        <v>8.3333333333333329E-2</v>
      </c>
      <c r="I17">
        <f t="shared" si="2"/>
        <v>9.7222222222222224E-2</v>
      </c>
      <c r="J17">
        <f t="shared" si="3"/>
        <v>0.27777777777777779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si="4"/>
        <v>2.5720164609053504</v>
      </c>
      <c r="U17">
        <f t="shared" si="5"/>
        <v>2.5720164609053504</v>
      </c>
    </row>
    <row r="18" spans="1:21" x14ac:dyDescent="0.55000000000000004">
      <c r="A18">
        <v>312</v>
      </c>
      <c r="B18">
        <v>42.5</v>
      </c>
      <c r="C18">
        <v>145.83333333333334</v>
      </c>
      <c r="D18">
        <v>125</v>
      </c>
      <c r="E18">
        <v>145.83333333333334</v>
      </c>
      <c r="F18">
        <f t="shared" si="6"/>
        <v>416.66666666666674</v>
      </c>
      <c r="G18">
        <f t="shared" si="0"/>
        <v>0.10294117647058823</v>
      </c>
      <c r="H18">
        <f t="shared" si="1"/>
        <v>8.8235294117647051E-2</v>
      </c>
      <c r="I18">
        <f t="shared" si="2"/>
        <v>0.10294117647058823</v>
      </c>
      <c r="J18">
        <f t="shared" si="3"/>
        <v>0.29411764705882348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4"/>
        <v>2.723311546840959</v>
      </c>
      <c r="U18">
        <f t="shared" si="5"/>
        <v>2.723311546840959</v>
      </c>
    </row>
    <row r="19" spans="1:21" x14ac:dyDescent="0.55000000000000004">
      <c r="A19">
        <v>312</v>
      </c>
      <c r="B19">
        <v>40</v>
      </c>
      <c r="C19">
        <v>145.83333333333334</v>
      </c>
      <c r="D19">
        <v>125</v>
      </c>
      <c r="E19">
        <v>145.83333333333334</v>
      </c>
      <c r="F19">
        <f t="shared" si="6"/>
        <v>416.66666666666674</v>
      </c>
      <c r="G19">
        <f t="shared" si="0"/>
        <v>0.10937500000000001</v>
      </c>
      <c r="H19">
        <f t="shared" si="1"/>
        <v>9.375E-2</v>
      </c>
      <c r="I19">
        <f t="shared" si="2"/>
        <v>0.10937500000000001</v>
      </c>
      <c r="J19">
        <f t="shared" si="3"/>
        <v>0.3125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4"/>
        <v>2.893518518518519</v>
      </c>
      <c r="U19">
        <f t="shared" si="5"/>
        <v>2.893518518518519</v>
      </c>
    </row>
    <row r="20" spans="1:21" x14ac:dyDescent="0.55000000000000004">
      <c r="A20">
        <v>312</v>
      </c>
      <c r="B20">
        <v>37.5</v>
      </c>
      <c r="C20">
        <v>145.83333333333334</v>
      </c>
      <c r="D20">
        <v>125</v>
      </c>
      <c r="E20">
        <v>145.83333333333334</v>
      </c>
      <c r="F20">
        <f t="shared" si="6"/>
        <v>416.66666666666674</v>
      </c>
      <c r="G20">
        <f t="shared" si="0"/>
        <v>0.11666666666666667</v>
      </c>
      <c r="H20">
        <f t="shared" si="1"/>
        <v>0.1</v>
      </c>
      <c r="I20">
        <f t="shared" si="2"/>
        <v>0.11666666666666667</v>
      </c>
      <c r="J20">
        <f t="shared" si="3"/>
        <v>0.33333333333333337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f t="shared" si="4"/>
        <v>3.0864197530864201</v>
      </c>
      <c r="U20">
        <f t="shared" si="5"/>
        <v>3.0864197530864201</v>
      </c>
    </row>
    <row r="21" spans="1:21" x14ac:dyDescent="0.55000000000000004">
      <c r="A21">
        <v>312</v>
      </c>
      <c r="B21">
        <v>35</v>
      </c>
      <c r="C21">
        <v>145.83333333333334</v>
      </c>
      <c r="D21">
        <v>125</v>
      </c>
      <c r="E21">
        <v>145.83333333333334</v>
      </c>
      <c r="F21">
        <f t="shared" si="6"/>
        <v>416.66666666666674</v>
      </c>
      <c r="G21">
        <f t="shared" si="0"/>
        <v>0.125</v>
      </c>
      <c r="H21">
        <f t="shared" si="1"/>
        <v>0.10714285714285714</v>
      </c>
      <c r="I21">
        <f t="shared" si="2"/>
        <v>0.125</v>
      </c>
      <c r="J21">
        <f t="shared" si="3"/>
        <v>0.35714285714285715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 t="shared" si="4"/>
        <v>3.3068783068783074</v>
      </c>
      <c r="U21">
        <f t="shared" si="5"/>
        <v>3.3068783068783074</v>
      </c>
    </row>
    <row r="22" spans="1:21" x14ac:dyDescent="0.55000000000000004">
      <c r="A22">
        <v>312</v>
      </c>
      <c r="B22">
        <v>32.5</v>
      </c>
      <c r="C22">
        <v>145.83333333333334</v>
      </c>
      <c r="D22">
        <v>125</v>
      </c>
      <c r="E22">
        <v>145.83333333333334</v>
      </c>
      <c r="F22">
        <f t="shared" si="6"/>
        <v>416.66666666666674</v>
      </c>
      <c r="G22">
        <f t="shared" si="0"/>
        <v>0.13461538461538464</v>
      </c>
      <c r="H22">
        <f t="shared" si="1"/>
        <v>0.11538461538461539</v>
      </c>
      <c r="I22">
        <f t="shared" si="2"/>
        <v>0.13461538461538464</v>
      </c>
      <c r="J22">
        <f t="shared" si="3"/>
        <v>0.38461538461538464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f t="shared" si="4"/>
        <v>3.5612535612535616</v>
      </c>
      <c r="U22">
        <f t="shared" si="5"/>
        <v>3.5612535612535616</v>
      </c>
    </row>
    <row r="23" spans="1:21" x14ac:dyDescent="0.55000000000000004">
      <c r="A23">
        <v>312</v>
      </c>
      <c r="B23">
        <v>30</v>
      </c>
      <c r="C23">
        <v>145.83333333333334</v>
      </c>
      <c r="D23">
        <v>125</v>
      </c>
      <c r="E23">
        <v>145.83333333333334</v>
      </c>
      <c r="F23">
        <f t="shared" si="6"/>
        <v>416.66666666666674</v>
      </c>
      <c r="G23">
        <f t="shared" si="0"/>
        <v>0.14583333333333334</v>
      </c>
      <c r="H23">
        <f t="shared" si="1"/>
        <v>0.125</v>
      </c>
      <c r="I23">
        <f t="shared" si="2"/>
        <v>0.14583333333333334</v>
      </c>
      <c r="J23">
        <f t="shared" si="3"/>
        <v>0.41666666666666674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f t="shared" si="4"/>
        <v>3.8580246913580249</v>
      </c>
      <c r="U23">
        <f t="shared" si="5"/>
        <v>3.8580246913580249</v>
      </c>
    </row>
    <row r="24" spans="1:21" x14ac:dyDescent="0.55000000000000004">
      <c r="A24">
        <v>312</v>
      </c>
      <c r="B24">
        <v>27.5</v>
      </c>
      <c r="C24">
        <v>145.83333333333334</v>
      </c>
      <c r="D24">
        <v>125</v>
      </c>
      <c r="E24">
        <v>145.83333333333334</v>
      </c>
      <c r="F24">
        <f t="shared" si="6"/>
        <v>416.66666666666674</v>
      </c>
      <c r="G24">
        <f t="shared" si="0"/>
        <v>0.15909090909090912</v>
      </c>
      <c r="H24">
        <f t="shared" si="1"/>
        <v>0.13636363636363638</v>
      </c>
      <c r="I24">
        <f t="shared" si="2"/>
        <v>0.15909090909090912</v>
      </c>
      <c r="J24">
        <f t="shared" si="3"/>
        <v>0.45454545454545464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f t="shared" si="4"/>
        <v>4.2087542087542094</v>
      </c>
      <c r="U24">
        <f t="shared" si="5"/>
        <v>4.2087542087542094</v>
      </c>
    </row>
    <row r="25" spans="1:21" x14ac:dyDescent="0.55000000000000004">
      <c r="A25">
        <v>312</v>
      </c>
      <c r="B25">
        <v>25</v>
      </c>
      <c r="C25">
        <v>145.83333333333334</v>
      </c>
      <c r="D25">
        <v>125</v>
      </c>
      <c r="E25">
        <v>145.83333333333334</v>
      </c>
      <c r="F25">
        <f t="shared" si="6"/>
        <v>416.66666666666674</v>
      </c>
      <c r="G25">
        <f t="shared" si="0"/>
        <v>0.17500000000000002</v>
      </c>
      <c r="H25">
        <f t="shared" si="1"/>
        <v>0.15</v>
      </c>
      <c r="I25">
        <f t="shared" si="2"/>
        <v>0.17500000000000002</v>
      </c>
      <c r="J25">
        <f t="shared" si="3"/>
        <v>0.5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f t="shared" si="4"/>
        <v>4.6296296296296306</v>
      </c>
      <c r="U25">
        <f t="shared" si="5"/>
        <v>4.6296296296296306</v>
      </c>
    </row>
    <row r="26" spans="1:21" x14ac:dyDescent="0.55000000000000004">
      <c r="A26">
        <v>312</v>
      </c>
      <c r="B26">
        <v>22.5</v>
      </c>
      <c r="C26">
        <v>145.83333333333334</v>
      </c>
      <c r="D26">
        <v>125</v>
      </c>
      <c r="E26">
        <v>145.83333333333334</v>
      </c>
      <c r="F26">
        <f t="shared" si="6"/>
        <v>416.66666666666674</v>
      </c>
      <c r="G26">
        <f t="shared" si="0"/>
        <v>0.19444444444444445</v>
      </c>
      <c r="H26">
        <f t="shared" si="1"/>
        <v>0.16666666666666666</v>
      </c>
      <c r="I26">
        <f t="shared" si="2"/>
        <v>0.19444444444444445</v>
      </c>
      <c r="J26">
        <f t="shared" si="3"/>
        <v>0.55555555555555558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f t="shared" si="4"/>
        <v>5.1440329218107008</v>
      </c>
      <c r="U26">
        <f t="shared" si="5"/>
        <v>5.1440329218107008</v>
      </c>
    </row>
    <row r="27" spans="1:21" x14ac:dyDescent="0.55000000000000004">
      <c r="A27">
        <v>312</v>
      </c>
      <c r="B27">
        <v>20</v>
      </c>
      <c r="C27">
        <v>145.83333333333334</v>
      </c>
      <c r="D27">
        <v>125</v>
      </c>
      <c r="E27">
        <v>145.83333333333334</v>
      </c>
      <c r="F27">
        <f t="shared" si="6"/>
        <v>416.66666666666674</v>
      </c>
      <c r="G27">
        <f t="shared" si="0"/>
        <v>0.21875000000000003</v>
      </c>
      <c r="H27">
        <f t="shared" si="1"/>
        <v>0.1875</v>
      </c>
      <c r="I27">
        <f t="shared" si="2"/>
        <v>0.21875000000000003</v>
      </c>
      <c r="J27">
        <f t="shared" si="3"/>
        <v>0.625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4"/>
        <v>5.7870370370370381</v>
      </c>
      <c r="U27">
        <f t="shared" si="5"/>
        <v>5.7870370370370381</v>
      </c>
    </row>
    <row r="28" spans="1:21" x14ac:dyDescent="0.55000000000000004">
      <c r="A28">
        <v>313</v>
      </c>
      <c r="B28">
        <v>50</v>
      </c>
      <c r="C28">
        <v>187.5</v>
      </c>
      <c r="D28">
        <v>125</v>
      </c>
      <c r="E28">
        <v>187.5</v>
      </c>
      <c r="F28">
        <f t="shared" si="6"/>
        <v>500</v>
      </c>
      <c r="G28">
        <f t="shared" si="0"/>
        <v>0.11249999999999999</v>
      </c>
      <c r="H28">
        <f t="shared" si="1"/>
        <v>7.4999999999999997E-2</v>
      </c>
      <c r="I28">
        <f t="shared" si="2"/>
        <v>0.11249999999999999</v>
      </c>
      <c r="J28">
        <f t="shared" si="3"/>
        <v>0.3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 t="shared" si="4"/>
        <v>2.7777777777777777</v>
      </c>
      <c r="U28">
        <f t="shared" si="5"/>
        <v>2.7777777777777777</v>
      </c>
    </row>
    <row r="29" spans="1:21" x14ac:dyDescent="0.55000000000000004">
      <c r="A29">
        <v>313</v>
      </c>
      <c r="B29">
        <v>47.5</v>
      </c>
      <c r="C29">
        <v>187.5</v>
      </c>
      <c r="D29">
        <v>125</v>
      </c>
      <c r="E29">
        <v>187.5</v>
      </c>
      <c r="F29">
        <f t="shared" si="6"/>
        <v>500</v>
      </c>
      <c r="G29">
        <f t="shared" si="0"/>
        <v>0.11842105263157895</v>
      </c>
      <c r="H29">
        <f t="shared" si="1"/>
        <v>7.8947368421052641E-2</v>
      </c>
      <c r="I29">
        <f t="shared" si="2"/>
        <v>0.11842105263157895</v>
      </c>
      <c r="J29">
        <f t="shared" si="3"/>
        <v>0.31578947368421051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4"/>
        <v>2.9239766081871346</v>
      </c>
      <c r="U29">
        <f t="shared" si="5"/>
        <v>2.9239766081871346</v>
      </c>
    </row>
    <row r="30" spans="1:21" x14ac:dyDescent="0.55000000000000004">
      <c r="A30">
        <v>313</v>
      </c>
      <c r="B30">
        <v>45</v>
      </c>
      <c r="C30">
        <v>187.5</v>
      </c>
      <c r="D30">
        <v>125</v>
      </c>
      <c r="E30">
        <v>187.5</v>
      </c>
      <c r="F30">
        <f t="shared" si="6"/>
        <v>500</v>
      </c>
      <c r="G30">
        <f t="shared" si="0"/>
        <v>0.125</v>
      </c>
      <c r="H30">
        <f t="shared" si="1"/>
        <v>8.3333333333333329E-2</v>
      </c>
      <c r="I30">
        <f t="shared" si="2"/>
        <v>0.125</v>
      </c>
      <c r="J30">
        <f t="shared" si="3"/>
        <v>0.33333333333333331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4"/>
        <v>3.0864197530864197</v>
      </c>
      <c r="U30">
        <f t="shared" si="5"/>
        <v>3.0864197530864197</v>
      </c>
    </row>
    <row r="31" spans="1:21" x14ac:dyDescent="0.55000000000000004">
      <c r="A31">
        <v>313</v>
      </c>
      <c r="B31">
        <v>42.5</v>
      </c>
      <c r="C31">
        <v>187.5</v>
      </c>
      <c r="D31">
        <v>125</v>
      </c>
      <c r="E31">
        <v>187.5</v>
      </c>
      <c r="F31">
        <f t="shared" si="6"/>
        <v>500</v>
      </c>
      <c r="G31">
        <f t="shared" si="0"/>
        <v>0.13235294117647059</v>
      </c>
      <c r="H31">
        <f t="shared" si="1"/>
        <v>8.8235294117647051E-2</v>
      </c>
      <c r="I31">
        <f t="shared" si="2"/>
        <v>0.13235294117647059</v>
      </c>
      <c r="J31">
        <f t="shared" si="3"/>
        <v>0.3529411764705882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4"/>
        <v>3.2679738562091507</v>
      </c>
      <c r="U31">
        <f t="shared" si="5"/>
        <v>3.2679738562091507</v>
      </c>
    </row>
    <row r="32" spans="1:21" x14ac:dyDescent="0.55000000000000004">
      <c r="A32">
        <v>313</v>
      </c>
      <c r="B32">
        <v>40</v>
      </c>
      <c r="C32">
        <v>187.5</v>
      </c>
      <c r="D32">
        <v>125</v>
      </c>
      <c r="E32">
        <v>187.5</v>
      </c>
      <c r="F32">
        <f t="shared" si="6"/>
        <v>500</v>
      </c>
      <c r="G32">
        <f t="shared" si="0"/>
        <v>0.140625</v>
      </c>
      <c r="H32">
        <f t="shared" si="1"/>
        <v>9.375E-2</v>
      </c>
      <c r="I32">
        <f t="shared" si="2"/>
        <v>0.140625</v>
      </c>
      <c r="J32">
        <f t="shared" si="3"/>
        <v>0.375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f t="shared" si="4"/>
        <v>3.4722222222222223</v>
      </c>
      <c r="U32">
        <f t="shared" si="5"/>
        <v>3.4722222222222223</v>
      </c>
    </row>
    <row r="33" spans="1:21" x14ac:dyDescent="0.55000000000000004">
      <c r="A33">
        <v>313</v>
      </c>
      <c r="B33">
        <v>37.5</v>
      </c>
      <c r="C33">
        <v>187.5</v>
      </c>
      <c r="D33">
        <v>125</v>
      </c>
      <c r="E33">
        <v>187.5</v>
      </c>
      <c r="F33">
        <f t="shared" si="6"/>
        <v>500</v>
      </c>
      <c r="G33">
        <f t="shared" si="0"/>
        <v>0.15</v>
      </c>
      <c r="H33">
        <f t="shared" si="1"/>
        <v>0.1</v>
      </c>
      <c r="I33">
        <f t="shared" si="2"/>
        <v>0.15</v>
      </c>
      <c r="J33">
        <f t="shared" si="3"/>
        <v>0.4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4"/>
        <v>3.7037037037037037</v>
      </c>
      <c r="U33">
        <f t="shared" si="5"/>
        <v>3.7037037037037037</v>
      </c>
    </row>
    <row r="34" spans="1:21" x14ac:dyDescent="0.55000000000000004">
      <c r="A34">
        <v>313</v>
      </c>
      <c r="B34">
        <v>35</v>
      </c>
      <c r="C34">
        <v>187.5</v>
      </c>
      <c r="D34">
        <v>125</v>
      </c>
      <c r="E34">
        <v>187.5</v>
      </c>
      <c r="F34">
        <f t="shared" si="6"/>
        <v>500</v>
      </c>
      <c r="G34">
        <f t="shared" ref="G34:G65" si="7">C34/(120*$B34*1000/3600)</f>
        <v>0.1607142857142857</v>
      </c>
      <c r="H34">
        <f t="shared" ref="H34:H65" si="8">D34/(120*$B34*1000/3600)</f>
        <v>0.10714285714285714</v>
      </c>
      <c r="I34">
        <f t="shared" ref="I34:I65" si="9">E34/(120*$B34*1000/3600)</f>
        <v>0.1607142857142857</v>
      </c>
      <c r="J34">
        <f t="shared" ref="J34:J65" si="10">SUM(G34:I34)</f>
        <v>0.42857142857142855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ref="T34:T65" si="11">F34/B34*1000/3600</f>
        <v>3.9682539682539684</v>
      </c>
      <c r="U34">
        <f t="shared" ref="U34:U65" si="12">S34+T34</f>
        <v>3.9682539682539684</v>
      </c>
    </row>
    <row r="35" spans="1:21" x14ac:dyDescent="0.55000000000000004">
      <c r="A35">
        <v>313</v>
      </c>
      <c r="B35">
        <v>32.5</v>
      </c>
      <c r="C35">
        <v>187.5</v>
      </c>
      <c r="D35">
        <v>125</v>
      </c>
      <c r="E35">
        <v>187.5</v>
      </c>
      <c r="F35">
        <f t="shared" si="6"/>
        <v>500</v>
      </c>
      <c r="G35">
        <f t="shared" si="7"/>
        <v>0.1730769230769231</v>
      </c>
      <c r="H35">
        <f t="shared" si="8"/>
        <v>0.11538461538461539</v>
      </c>
      <c r="I35">
        <f t="shared" si="9"/>
        <v>0.1730769230769231</v>
      </c>
      <c r="J35">
        <f t="shared" si="10"/>
        <v>0.46153846153846156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11"/>
        <v>4.2735042735042734</v>
      </c>
      <c r="U35">
        <f t="shared" si="12"/>
        <v>4.2735042735042734</v>
      </c>
    </row>
    <row r="36" spans="1:21" x14ac:dyDescent="0.55000000000000004">
      <c r="A36">
        <v>313</v>
      </c>
      <c r="B36">
        <v>30</v>
      </c>
      <c r="C36">
        <v>187.5</v>
      </c>
      <c r="D36">
        <v>125</v>
      </c>
      <c r="E36">
        <v>187.5</v>
      </c>
      <c r="F36">
        <f t="shared" si="6"/>
        <v>500</v>
      </c>
      <c r="G36">
        <f t="shared" si="7"/>
        <v>0.1875</v>
      </c>
      <c r="H36">
        <f t="shared" si="8"/>
        <v>0.125</v>
      </c>
      <c r="I36">
        <f t="shared" si="9"/>
        <v>0.1875</v>
      </c>
      <c r="J36">
        <f t="shared" si="10"/>
        <v>0.5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11"/>
        <v>4.6296296296296298</v>
      </c>
      <c r="U36">
        <f t="shared" si="12"/>
        <v>4.6296296296296298</v>
      </c>
    </row>
    <row r="37" spans="1:21" x14ac:dyDescent="0.55000000000000004">
      <c r="A37">
        <v>313</v>
      </c>
      <c r="B37">
        <v>27.5</v>
      </c>
      <c r="C37">
        <v>187.5</v>
      </c>
      <c r="D37">
        <v>125</v>
      </c>
      <c r="E37">
        <v>187.5</v>
      </c>
      <c r="F37">
        <f t="shared" si="6"/>
        <v>500</v>
      </c>
      <c r="G37">
        <f t="shared" si="7"/>
        <v>0.20454545454545456</v>
      </c>
      <c r="H37">
        <f t="shared" si="8"/>
        <v>0.13636363636363638</v>
      </c>
      <c r="I37">
        <f t="shared" si="9"/>
        <v>0.20454545454545456</v>
      </c>
      <c r="J37">
        <f t="shared" si="10"/>
        <v>0.54545454545454553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f t="shared" si="11"/>
        <v>5.0505050505050511</v>
      </c>
      <c r="U37">
        <f t="shared" si="12"/>
        <v>5.0505050505050511</v>
      </c>
    </row>
    <row r="38" spans="1:21" x14ac:dyDescent="0.55000000000000004">
      <c r="A38">
        <v>313</v>
      </c>
      <c r="B38">
        <v>25</v>
      </c>
      <c r="C38">
        <v>187.5</v>
      </c>
      <c r="D38">
        <v>125</v>
      </c>
      <c r="E38">
        <v>187.5</v>
      </c>
      <c r="F38">
        <f t="shared" si="6"/>
        <v>500</v>
      </c>
      <c r="G38">
        <f t="shared" si="7"/>
        <v>0.22499999999999998</v>
      </c>
      <c r="H38">
        <f t="shared" si="8"/>
        <v>0.15</v>
      </c>
      <c r="I38">
        <f t="shared" si="9"/>
        <v>0.22499999999999998</v>
      </c>
      <c r="J38">
        <f t="shared" si="10"/>
        <v>0.6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11"/>
        <v>5.5555555555555554</v>
      </c>
      <c r="U38">
        <f t="shared" si="12"/>
        <v>5.5555555555555554</v>
      </c>
    </row>
    <row r="39" spans="1:21" x14ac:dyDescent="0.55000000000000004">
      <c r="A39">
        <v>313</v>
      </c>
      <c r="B39">
        <v>22.5</v>
      </c>
      <c r="C39">
        <v>187.5</v>
      </c>
      <c r="D39">
        <v>125</v>
      </c>
      <c r="E39">
        <v>187.5</v>
      </c>
      <c r="F39">
        <f t="shared" si="6"/>
        <v>500</v>
      </c>
      <c r="G39">
        <f t="shared" si="7"/>
        <v>0.25</v>
      </c>
      <c r="H39">
        <f t="shared" si="8"/>
        <v>0.16666666666666666</v>
      </c>
      <c r="I39">
        <f t="shared" si="9"/>
        <v>0.25</v>
      </c>
      <c r="J39">
        <f t="shared" si="10"/>
        <v>0.66666666666666663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11"/>
        <v>6.1728395061728394</v>
      </c>
      <c r="U39">
        <f t="shared" si="12"/>
        <v>6.1728395061728394</v>
      </c>
    </row>
    <row r="40" spans="1:21" x14ac:dyDescent="0.55000000000000004">
      <c r="A40">
        <v>313</v>
      </c>
      <c r="B40">
        <v>20</v>
      </c>
      <c r="C40">
        <v>187.5</v>
      </c>
      <c r="D40">
        <v>125</v>
      </c>
      <c r="E40">
        <v>187.5</v>
      </c>
      <c r="F40">
        <f t="shared" si="6"/>
        <v>500</v>
      </c>
      <c r="G40">
        <f t="shared" si="7"/>
        <v>0.28125</v>
      </c>
      <c r="H40">
        <f t="shared" si="8"/>
        <v>0.1875</v>
      </c>
      <c r="I40">
        <f t="shared" si="9"/>
        <v>0.28125</v>
      </c>
      <c r="J40">
        <f t="shared" si="10"/>
        <v>0.75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f t="shared" si="11"/>
        <v>6.9444444444444446</v>
      </c>
      <c r="U40">
        <f t="shared" si="12"/>
        <v>6.9444444444444446</v>
      </c>
    </row>
    <row r="41" spans="1:21" x14ac:dyDescent="0.55000000000000004">
      <c r="A41">
        <v>314</v>
      </c>
      <c r="B41">
        <v>50</v>
      </c>
      <c r="C41">
        <v>104.16666666666667</v>
      </c>
      <c r="D41">
        <v>125</v>
      </c>
      <c r="E41">
        <v>104.16666666666667</v>
      </c>
      <c r="F41">
        <f t="shared" si="6"/>
        <v>333.33333333333337</v>
      </c>
      <c r="G41">
        <f t="shared" si="7"/>
        <v>6.25E-2</v>
      </c>
      <c r="H41">
        <f t="shared" si="8"/>
        <v>7.4999999999999997E-2</v>
      </c>
      <c r="I41">
        <f t="shared" si="9"/>
        <v>6.25E-2</v>
      </c>
      <c r="J41">
        <f t="shared" si="10"/>
        <v>0.2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11"/>
        <v>1.8518518518518521</v>
      </c>
      <c r="U41">
        <f t="shared" si="12"/>
        <v>1.8518518518518521</v>
      </c>
    </row>
    <row r="42" spans="1:21" x14ac:dyDescent="0.55000000000000004">
      <c r="A42">
        <v>314</v>
      </c>
      <c r="B42">
        <v>47.5</v>
      </c>
      <c r="C42">
        <v>104.16666666666667</v>
      </c>
      <c r="D42">
        <v>125</v>
      </c>
      <c r="E42">
        <v>104.16666666666667</v>
      </c>
      <c r="F42">
        <f t="shared" si="6"/>
        <v>333.33333333333337</v>
      </c>
      <c r="G42">
        <f t="shared" si="7"/>
        <v>6.5789473684210537E-2</v>
      </c>
      <c r="H42">
        <f t="shared" si="8"/>
        <v>7.8947368421052641E-2</v>
      </c>
      <c r="I42">
        <f t="shared" si="9"/>
        <v>6.5789473684210537E-2</v>
      </c>
      <c r="J42">
        <f t="shared" si="10"/>
        <v>0.2105263157894737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11"/>
        <v>1.9493177387914231</v>
      </c>
      <c r="U42">
        <f t="shared" si="12"/>
        <v>1.9493177387914231</v>
      </c>
    </row>
    <row r="43" spans="1:21" x14ac:dyDescent="0.55000000000000004">
      <c r="A43">
        <v>314</v>
      </c>
      <c r="B43">
        <v>45</v>
      </c>
      <c r="C43">
        <v>104.16666666666667</v>
      </c>
      <c r="D43">
        <v>125</v>
      </c>
      <c r="E43">
        <v>104.16666666666667</v>
      </c>
      <c r="F43">
        <f t="shared" si="6"/>
        <v>333.33333333333337</v>
      </c>
      <c r="G43">
        <f t="shared" si="7"/>
        <v>6.9444444444444448E-2</v>
      </c>
      <c r="H43">
        <f t="shared" si="8"/>
        <v>8.3333333333333329E-2</v>
      </c>
      <c r="I43">
        <f t="shared" si="9"/>
        <v>6.9444444444444448E-2</v>
      </c>
      <c r="J43">
        <f t="shared" si="10"/>
        <v>0.22222222222222224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11"/>
        <v>2.0576131687242802</v>
      </c>
      <c r="U43">
        <f t="shared" si="12"/>
        <v>2.0576131687242802</v>
      </c>
    </row>
    <row r="44" spans="1:21" x14ac:dyDescent="0.55000000000000004">
      <c r="A44">
        <v>314</v>
      </c>
      <c r="B44">
        <v>42.5</v>
      </c>
      <c r="C44">
        <v>104.16666666666667</v>
      </c>
      <c r="D44">
        <v>125</v>
      </c>
      <c r="E44">
        <v>104.16666666666667</v>
      </c>
      <c r="F44">
        <f t="shared" si="6"/>
        <v>333.33333333333337</v>
      </c>
      <c r="G44">
        <f t="shared" si="7"/>
        <v>7.3529411764705885E-2</v>
      </c>
      <c r="H44">
        <f t="shared" si="8"/>
        <v>8.8235294117647051E-2</v>
      </c>
      <c r="I44">
        <f t="shared" si="9"/>
        <v>7.3529411764705885E-2</v>
      </c>
      <c r="J44">
        <f t="shared" si="10"/>
        <v>0.23529411764705882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11"/>
        <v>2.1786492374727673</v>
      </c>
      <c r="U44">
        <f t="shared" si="12"/>
        <v>2.1786492374727673</v>
      </c>
    </row>
    <row r="45" spans="1:21" x14ac:dyDescent="0.55000000000000004">
      <c r="A45">
        <v>314</v>
      </c>
      <c r="B45">
        <v>40</v>
      </c>
      <c r="C45">
        <v>104.16666666666667</v>
      </c>
      <c r="D45">
        <v>125</v>
      </c>
      <c r="E45">
        <v>104.16666666666667</v>
      </c>
      <c r="F45">
        <f t="shared" si="6"/>
        <v>333.33333333333337</v>
      </c>
      <c r="G45">
        <f t="shared" si="7"/>
        <v>7.8125000000000014E-2</v>
      </c>
      <c r="H45">
        <f t="shared" si="8"/>
        <v>9.375E-2</v>
      </c>
      <c r="I45">
        <f t="shared" si="9"/>
        <v>7.8125000000000014E-2</v>
      </c>
      <c r="J45">
        <f t="shared" si="10"/>
        <v>0.25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11"/>
        <v>2.3148148148148149</v>
      </c>
      <c r="U45">
        <f t="shared" si="12"/>
        <v>2.3148148148148149</v>
      </c>
    </row>
    <row r="46" spans="1:21" x14ac:dyDescent="0.55000000000000004">
      <c r="A46">
        <v>314</v>
      </c>
      <c r="B46">
        <v>37.5</v>
      </c>
      <c r="C46">
        <v>104.16666666666667</v>
      </c>
      <c r="D46">
        <v>125</v>
      </c>
      <c r="E46">
        <v>104.16666666666667</v>
      </c>
      <c r="F46">
        <f t="shared" si="6"/>
        <v>333.33333333333337</v>
      </c>
      <c r="G46">
        <f t="shared" si="7"/>
        <v>8.3333333333333343E-2</v>
      </c>
      <c r="H46">
        <f t="shared" si="8"/>
        <v>0.1</v>
      </c>
      <c r="I46">
        <f t="shared" si="9"/>
        <v>8.3333333333333343E-2</v>
      </c>
      <c r="J46">
        <f t="shared" si="10"/>
        <v>0.26666666666666672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f t="shared" si="11"/>
        <v>2.4691358024691357</v>
      </c>
      <c r="U46">
        <f t="shared" si="12"/>
        <v>2.4691358024691357</v>
      </c>
    </row>
    <row r="47" spans="1:21" x14ac:dyDescent="0.55000000000000004">
      <c r="A47">
        <v>314</v>
      </c>
      <c r="B47">
        <v>35</v>
      </c>
      <c r="C47">
        <v>104.16666666666667</v>
      </c>
      <c r="D47">
        <v>125</v>
      </c>
      <c r="E47">
        <v>104.16666666666667</v>
      </c>
      <c r="F47">
        <f t="shared" si="6"/>
        <v>333.33333333333337</v>
      </c>
      <c r="G47">
        <f t="shared" si="7"/>
        <v>8.9285714285714288E-2</v>
      </c>
      <c r="H47">
        <f t="shared" si="8"/>
        <v>0.10714285714285714</v>
      </c>
      <c r="I47">
        <f t="shared" si="9"/>
        <v>8.9285714285714288E-2</v>
      </c>
      <c r="J47">
        <f t="shared" si="10"/>
        <v>0.2857142857142857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11"/>
        <v>2.6455026455026456</v>
      </c>
      <c r="U47">
        <f t="shared" si="12"/>
        <v>2.6455026455026456</v>
      </c>
    </row>
    <row r="48" spans="1:21" x14ac:dyDescent="0.55000000000000004">
      <c r="A48">
        <v>314</v>
      </c>
      <c r="B48">
        <v>32.5</v>
      </c>
      <c r="C48">
        <v>104.16666666666667</v>
      </c>
      <c r="D48">
        <v>125</v>
      </c>
      <c r="E48">
        <v>104.16666666666667</v>
      </c>
      <c r="F48">
        <f t="shared" si="6"/>
        <v>333.33333333333337</v>
      </c>
      <c r="G48">
        <f t="shared" si="7"/>
        <v>9.6153846153846159E-2</v>
      </c>
      <c r="H48">
        <f t="shared" si="8"/>
        <v>0.11538461538461539</v>
      </c>
      <c r="I48">
        <f t="shared" si="9"/>
        <v>9.6153846153846159E-2</v>
      </c>
      <c r="J48">
        <f t="shared" si="10"/>
        <v>0.30769230769230771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f t="shared" si="11"/>
        <v>2.8490028490028494</v>
      </c>
      <c r="U48">
        <f t="shared" si="12"/>
        <v>2.8490028490028494</v>
      </c>
    </row>
    <row r="49" spans="1:21" x14ac:dyDescent="0.55000000000000004">
      <c r="A49">
        <v>314</v>
      </c>
      <c r="B49">
        <v>30</v>
      </c>
      <c r="C49">
        <v>104.16666666666667</v>
      </c>
      <c r="D49">
        <v>125</v>
      </c>
      <c r="E49">
        <v>104.16666666666667</v>
      </c>
      <c r="F49">
        <f t="shared" si="6"/>
        <v>333.33333333333337</v>
      </c>
      <c r="G49">
        <f t="shared" si="7"/>
        <v>0.10416666666666667</v>
      </c>
      <c r="H49">
        <f t="shared" si="8"/>
        <v>0.125</v>
      </c>
      <c r="I49">
        <f t="shared" si="9"/>
        <v>0.10416666666666667</v>
      </c>
      <c r="J49">
        <f t="shared" si="10"/>
        <v>0.33333333333333337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f t="shared" si="11"/>
        <v>3.0864197530864201</v>
      </c>
      <c r="U49">
        <f t="shared" si="12"/>
        <v>3.0864197530864201</v>
      </c>
    </row>
    <row r="50" spans="1:21" x14ac:dyDescent="0.55000000000000004">
      <c r="A50">
        <v>314</v>
      </c>
      <c r="B50">
        <v>27.5</v>
      </c>
      <c r="C50">
        <v>104.16666666666667</v>
      </c>
      <c r="D50">
        <v>125</v>
      </c>
      <c r="E50">
        <v>104.16666666666667</v>
      </c>
      <c r="F50">
        <f t="shared" si="6"/>
        <v>333.33333333333337</v>
      </c>
      <c r="G50">
        <f t="shared" si="7"/>
        <v>0.11363636363636365</v>
      </c>
      <c r="H50">
        <f t="shared" si="8"/>
        <v>0.13636363636363638</v>
      </c>
      <c r="I50">
        <f t="shared" si="9"/>
        <v>0.11363636363636365</v>
      </c>
      <c r="J50">
        <f t="shared" si="10"/>
        <v>0.36363636363636365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f t="shared" si="11"/>
        <v>3.3670033670033677</v>
      </c>
      <c r="U50">
        <f t="shared" si="12"/>
        <v>3.3670033670033677</v>
      </c>
    </row>
    <row r="51" spans="1:21" x14ac:dyDescent="0.55000000000000004">
      <c r="A51">
        <v>314</v>
      </c>
      <c r="B51">
        <v>25</v>
      </c>
      <c r="C51">
        <v>104.16666666666667</v>
      </c>
      <c r="D51">
        <v>125</v>
      </c>
      <c r="E51">
        <v>104.16666666666667</v>
      </c>
      <c r="F51">
        <f t="shared" si="6"/>
        <v>333.33333333333337</v>
      </c>
      <c r="G51">
        <f t="shared" si="7"/>
        <v>0.125</v>
      </c>
      <c r="H51">
        <f t="shared" si="8"/>
        <v>0.15</v>
      </c>
      <c r="I51">
        <f t="shared" si="9"/>
        <v>0.125</v>
      </c>
      <c r="J51">
        <f t="shared" si="10"/>
        <v>0.4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f t="shared" si="11"/>
        <v>3.7037037037037042</v>
      </c>
      <c r="U51">
        <f t="shared" si="12"/>
        <v>3.7037037037037042</v>
      </c>
    </row>
    <row r="52" spans="1:21" x14ac:dyDescent="0.55000000000000004">
      <c r="A52">
        <v>314</v>
      </c>
      <c r="B52">
        <v>22.5</v>
      </c>
      <c r="C52">
        <v>104.16666666666667</v>
      </c>
      <c r="D52">
        <v>125</v>
      </c>
      <c r="E52">
        <v>104.16666666666667</v>
      </c>
      <c r="F52">
        <f t="shared" si="6"/>
        <v>333.33333333333337</v>
      </c>
      <c r="G52">
        <f t="shared" si="7"/>
        <v>0.1388888888888889</v>
      </c>
      <c r="H52">
        <f t="shared" si="8"/>
        <v>0.16666666666666666</v>
      </c>
      <c r="I52">
        <f t="shared" si="9"/>
        <v>0.1388888888888889</v>
      </c>
      <c r="J52">
        <f t="shared" si="10"/>
        <v>0.44444444444444448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11"/>
        <v>4.1152263374485605</v>
      </c>
      <c r="U52">
        <f t="shared" si="12"/>
        <v>4.1152263374485605</v>
      </c>
    </row>
    <row r="53" spans="1:21" x14ac:dyDescent="0.55000000000000004">
      <c r="A53">
        <v>314</v>
      </c>
      <c r="B53">
        <v>20</v>
      </c>
      <c r="C53">
        <v>104.16666666666667</v>
      </c>
      <c r="D53">
        <v>125</v>
      </c>
      <c r="E53">
        <v>104.16666666666667</v>
      </c>
      <c r="F53">
        <f t="shared" si="6"/>
        <v>333.33333333333337</v>
      </c>
      <c r="G53">
        <f t="shared" si="7"/>
        <v>0.15625000000000003</v>
      </c>
      <c r="H53">
        <f t="shared" si="8"/>
        <v>0.1875</v>
      </c>
      <c r="I53">
        <f t="shared" si="9"/>
        <v>0.15625000000000003</v>
      </c>
      <c r="J53">
        <f t="shared" si="10"/>
        <v>0.5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11"/>
        <v>4.6296296296296298</v>
      </c>
      <c r="U53">
        <f t="shared" si="12"/>
        <v>4.6296296296296298</v>
      </c>
    </row>
    <row r="54" spans="1:21" x14ac:dyDescent="0.55000000000000004">
      <c r="A54">
        <v>321</v>
      </c>
      <c r="B54">
        <v>50</v>
      </c>
      <c r="C54">
        <v>104.16666666666667</v>
      </c>
      <c r="D54">
        <v>208.33333333333334</v>
      </c>
      <c r="E54">
        <v>104.16666666666667</v>
      </c>
      <c r="F54">
        <f t="shared" si="6"/>
        <v>416.66666666666669</v>
      </c>
      <c r="G54">
        <f t="shared" si="7"/>
        <v>6.25E-2</v>
      </c>
      <c r="H54">
        <f t="shared" si="8"/>
        <v>0.125</v>
      </c>
      <c r="I54">
        <f t="shared" si="9"/>
        <v>6.25E-2</v>
      </c>
      <c r="J54">
        <f t="shared" si="10"/>
        <v>0.25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11"/>
        <v>2.3148148148148149</v>
      </c>
      <c r="U54">
        <f t="shared" si="12"/>
        <v>2.3148148148148149</v>
      </c>
    </row>
    <row r="55" spans="1:21" x14ac:dyDescent="0.55000000000000004">
      <c r="A55">
        <v>321</v>
      </c>
      <c r="B55">
        <v>47.5</v>
      </c>
      <c r="C55">
        <v>104.16666666666667</v>
      </c>
      <c r="D55">
        <v>208.33333333333334</v>
      </c>
      <c r="E55">
        <v>104.16666666666667</v>
      </c>
      <c r="F55">
        <f t="shared" si="6"/>
        <v>416.66666666666669</v>
      </c>
      <c r="G55">
        <f t="shared" si="7"/>
        <v>6.5789473684210537E-2</v>
      </c>
      <c r="H55">
        <f t="shared" si="8"/>
        <v>0.13157894736842107</v>
      </c>
      <c r="I55">
        <f t="shared" si="9"/>
        <v>6.5789473684210537E-2</v>
      </c>
      <c r="J55">
        <f t="shared" si="10"/>
        <v>0.26315789473684215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11"/>
        <v>2.4366471734892792</v>
      </c>
      <c r="U55">
        <f t="shared" si="12"/>
        <v>2.4366471734892792</v>
      </c>
    </row>
    <row r="56" spans="1:21" x14ac:dyDescent="0.55000000000000004">
      <c r="A56">
        <v>321</v>
      </c>
      <c r="B56">
        <v>45</v>
      </c>
      <c r="C56">
        <v>104.16666666666667</v>
      </c>
      <c r="D56">
        <v>208.33333333333334</v>
      </c>
      <c r="E56">
        <v>104.16666666666667</v>
      </c>
      <c r="F56">
        <f t="shared" si="6"/>
        <v>416.66666666666669</v>
      </c>
      <c r="G56">
        <f t="shared" si="7"/>
        <v>6.9444444444444448E-2</v>
      </c>
      <c r="H56">
        <f t="shared" si="8"/>
        <v>0.1388888888888889</v>
      </c>
      <c r="I56">
        <f t="shared" si="9"/>
        <v>6.9444444444444448E-2</v>
      </c>
      <c r="J56">
        <f t="shared" si="10"/>
        <v>0.27777777777777779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11"/>
        <v>2.57201646090535</v>
      </c>
      <c r="U56">
        <f t="shared" si="12"/>
        <v>2.57201646090535</v>
      </c>
    </row>
    <row r="57" spans="1:21" x14ac:dyDescent="0.55000000000000004">
      <c r="A57">
        <v>321</v>
      </c>
      <c r="B57">
        <v>42.5</v>
      </c>
      <c r="C57">
        <v>104.16666666666667</v>
      </c>
      <c r="D57">
        <v>208.33333333333334</v>
      </c>
      <c r="E57">
        <v>104.16666666666667</v>
      </c>
      <c r="F57">
        <f t="shared" si="6"/>
        <v>416.66666666666669</v>
      </c>
      <c r="G57">
        <f t="shared" si="7"/>
        <v>7.3529411764705885E-2</v>
      </c>
      <c r="H57">
        <f t="shared" si="8"/>
        <v>0.14705882352941177</v>
      </c>
      <c r="I57">
        <f t="shared" si="9"/>
        <v>7.3529411764705885E-2</v>
      </c>
      <c r="J57">
        <f t="shared" si="10"/>
        <v>0.29411764705882354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11"/>
        <v>2.7233115468409586</v>
      </c>
      <c r="U57">
        <f t="shared" si="12"/>
        <v>2.7233115468409586</v>
      </c>
    </row>
    <row r="58" spans="1:21" x14ac:dyDescent="0.55000000000000004">
      <c r="A58">
        <v>321</v>
      </c>
      <c r="B58">
        <v>40</v>
      </c>
      <c r="C58">
        <v>104.16666666666667</v>
      </c>
      <c r="D58">
        <v>208.33333333333334</v>
      </c>
      <c r="E58">
        <v>104.16666666666667</v>
      </c>
      <c r="F58">
        <f t="shared" si="6"/>
        <v>416.66666666666669</v>
      </c>
      <c r="G58">
        <f t="shared" si="7"/>
        <v>7.8125000000000014E-2</v>
      </c>
      <c r="H58">
        <f t="shared" si="8"/>
        <v>0.15625000000000003</v>
      </c>
      <c r="I58">
        <f t="shared" si="9"/>
        <v>7.8125000000000014E-2</v>
      </c>
      <c r="J58">
        <f t="shared" si="10"/>
        <v>0.31250000000000006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11"/>
        <v>2.893518518518519</v>
      </c>
      <c r="U58">
        <f t="shared" si="12"/>
        <v>2.893518518518519</v>
      </c>
    </row>
    <row r="59" spans="1:21" x14ac:dyDescent="0.55000000000000004">
      <c r="A59">
        <v>321</v>
      </c>
      <c r="B59">
        <v>37.5</v>
      </c>
      <c r="C59">
        <v>104.16666666666667</v>
      </c>
      <c r="D59">
        <v>208.33333333333334</v>
      </c>
      <c r="E59">
        <v>104.16666666666667</v>
      </c>
      <c r="F59">
        <f t="shared" si="6"/>
        <v>416.66666666666669</v>
      </c>
      <c r="G59">
        <f t="shared" si="7"/>
        <v>8.3333333333333343E-2</v>
      </c>
      <c r="H59">
        <f t="shared" si="8"/>
        <v>0.16666666666666669</v>
      </c>
      <c r="I59">
        <f t="shared" si="9"/>
        <v>8.3333333333333343E-2</v>
      </c>
      <c r="J59">
        <f t="shared" si="10"/>
        <v>0.33333333333333337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11"/>
        <v>3.0864197530864201</v>
      </c>
      <c r="U59">
        <f t="shared" si="12"/>
        <v>3.0864197530864201</v>
      </c>
    </row>
    <row r="60" spans="1:21" x14ac:dyDescent="0.55000000000000004">
      <c r="A60">
        <v>321</v>
      </c>
      <c r="B60">
        <v>35</v>
      </c>
      <c r="C60">
        <v>104.16666666666667</v>
      </c>
      <c r="D60">
        <v>208.33333333333334</v>
      </c>
      <c r="E60">
        <v>104.16666666666667</v>
      </c>
      <c r="F60">
        <f t="shared" si="6"/>
        <v>416.66666666666669</v>
      </c>
      <c r="G60">
        <f t="shared" si="7"/>
        <v>8.9285714285714288E-2</v>
      </c>
      <c r="H60">
        <f t="shared" si="8"/>
        <v>0.17857142857142858</v>
      </c>
      <c r="I60">
        <f t="shared" si="9"/>
        <v>8.9285714285714288E-2</v>
      </c>
      <c r="J60">
        <f t="shared" si="10"/>
        <v>0.35714285714285715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11"/>
        <v>3.306878306878307</v>
      </c>
      <c r="U60">
        <f t="shared" si="12"/>
        <v>3.306878306878307</v>
      </c>
    </row>
    <row r="61" spans="1:21" x14ac:dyDescent="0.55000000000000004">
      <c r="A61">
        <v>321</v>
      </c>
      <c r="B61">
        <v>32.5</v>
      </c>
      <c r="C61">
        <v>104.16666666666667</v>
      </c>
      <c r="D61">
        <v>208.33333333333334</v>
      </c>
      <c r="E61">
        <v>104.16666666666667</v>
      </c>
      <c r="F61">
        <f t="shared" si="6"/>
        <v>416.66666666666669</v>
      </c>
      <c r="G61">
        <f t="shared" si="7"/>
        <v>9.6153846153846159E-2</v>
      </c>
      <c r="H61">
        <f t="shared" si="8"/>
        <v>0.19230769230769232</v>
      </c>
      <c r="I61">
        <f t="shared" si="9"/>
        <v>9.6153846153846159E-2</v>
      </c>
      <c r="J61">
        <f t="shared" si="10"/>
        <v>0.38461538461538464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11"/>
        <v>3.5612535612535612</v>
      </c>
      <c r="U61">
        <f t="shared" si="12"/>
        <v>3.5612535612535612</v>
      </c>
    </row>
    <row r="62" spans="1:21" x14ac:dyDescent="0.55000000000000004">
      <c r="A62">
        <v>321</v>
      </c>
      <c r="B62">
        <v>30</v>
      </c>
      <c r="C62">
        <v>104.16666666666667</v>
      </c>
      <c r="D62">
        <v>208.33333333333334</v>
      </c>
      <c r="E62">
        <v>104.16666666666667</v>
      </c>
      <c r="F62">
        <f t="shared" si="6"/>
        <v>416.66666666666669</v>
      </c>
      <c r="G62">
        <f t="shared" si="7"/>
        <v>0.10416666666666667</v>
      </c>
      <c r="H62">
        <f t="shared" si="8"/>
        <v>0.20833333333333334</v>
      </c>
      <c r="I62">
        <f t="shared" si="9"/>
        <v>0.10416666666666667</v>
      </c>
      <c r="J62">
        <f t="shared" si="10"/>
        <v>0.41666666666666669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11"/>
        <v>3.8580246913580245</v>
      </c>
      <c r="U62">
        <f t="shared" si="12"/>
        <v>3.8580246913580245</v>
      </c>
    </row>
    <row r="63" spans="1:21" x14ac:dyDescent="0.55000000000000004">
      <c r="A63">
        <v>321</v>
      </c>
      <c r="B63">
        <v>27.5</v>
      </c>
      <c r="C63">
        <v>104.16666666666667</v>
      </c>
      <c r="D63">
        <v>208.33333333333334</v>
      </c>
      <c r="E63">
        <v>104.16666666666667</v>
      </c>
      <c r="F63">
        <f t="shared" si="6"/>
        <v>416.66666666666669</v>
      </c>
      <c r="G63">
        <f t="shared" si="7"/>
        <v>0.11363636363636365</v>
      </c>
      <c r="H63">
        <f t="shared" si="8"/>
        <v>0.22727272727272729</v>
      </c>
      <c r="I63">
        <f t="shared" si="9"/>
        <v>0.11363636363636365</v>
      </c>
      <c r="J63">
        <f t="shared" si="10"/>
        <v>0.45454545454545459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11"/>
        <v>4.2087542087542085</v>
      </c>
      <c r="U63">
        <f t="shared" si="12"/>
        <v>4.2087542087542085</v>
      </c>
    </row>
    <row r="64" spans="1:21" x14ac:dyDescent="0.55000000000000004">
      <c r="A64">
        <v>321</v>
      </c>
      <c r="B64">
        <v>25</v>
      </c>
      <c r="C64">
        <v>104.16666666666667</v>
      </c>
      <c r="D64">
        <v>208.33333333333334</v>
      </c>
      <c r="E64">
        <v>104.16666666666667</v>
      </c>
      <c r="F64">
        <f t="shared" si="6"/>
        <v>416.66666666666669</v>
      </c>
      <c r="G64">
        <f t="shared" si="7"/>
        <v>0.125</v>
      </c>
      <c r="H64">
        <f t="shared" si="8"/>
        <v>0.25</v>
      </c>
      <c r="I64">
        <f t="shared" si="9"/>
        <v>0.125</v>
      </c>
      <c r="J64">
        <f t="shared" si="10"/>
        <v>0.5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f t="shared" si="11"/>
        <v>4.6296296296296298</v>
      </c>
      <c r="U64">
        <f t="shared" si="12"/>
        <v>4.6296296296296298</v>
      </c>
    </row>
    <row r="65" spans="1:21" x14ac:dyDescent="0.55000000000000004">
      <c r="A65">
        <v>321</v>
      </c>
      <c r="B65">
        <v>22.5</v>
      </c>
      <c r="C65">
        <v>104.16666666666667</v>
      </c>
      <c r="D65">
        <v>208.33333333333334</v>
      </c>
      <c r="E65">
        <v>104.16666666666667</v>
      </c>
      <c r="F65">
        <f t="shared" si="6"/>
        <v>416.66666666666669</v>
      </c>
      <c r="G65">
        <f t="shared" si="7"/>
        <v>0.1388888888888889</v>
      </c>
      <c r="H65">
        <f t="shared" si="8"/>
        <v>0.27777777777777779</v>
      </c>
      <c r="I65">
        <f t="shared" si="9"/>
        <v>0.1388888888888889</v>
      </c>
      <c r="J65">
        <f t="shared" si="10"/>
        <v>0.55555555555555558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11"/>
        <v>5.1440329218106999</v>
      </c>
      <c r="U65">
        <f t="shared" si="12"/>
        <v>5.1440329218106999</v>
      </c>
    </row>
    <row r="66" spans="1:21" x14ac:dyDescent="0.55000000000000004">
      <c r="A66">
        <v>321</v>
      </c>
      <c r="B66">
        <v>20</v>
      </c>
      <c r="C66">
        <v>104.16666666666667</v>
      </c>
      <c r="D66">
        <v>208.33333333333334</v>
      </c>
      <c r="E66">
        <v>104.16666666666667</v>
      </c>
      <c r="F66">
        <f t="shared" si="6"/>
        <v>416.66666666666669</v>
      </c>
      <c r="G66">
        <f t="shared" ref="G66:G97" si="13">C66/(120*$B66*1000/3600)</f>
        <v>0.15625000000000003</v>
      </c>
      <c r="H66">
        <f t="shared" ref="H66:H97" si="14">D66/(120*$B66*1000/3600)</f>
        <v>0.31250000000000006</v>
      </c>
      <c r="I66">
        <f t="shared" ref="I66:I97" si="15">E66/(120*$B66*1000/3600)</f>
        <v>0.15625000000000003</v>
      </c>
      <c r="J66">
        <f t="shared" ref="J66:J97" si="16">SUM(G66:I66)</f>
        <v>0.62500000000000011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ref="T66:T97" si="17">F66/B66*1000/3600</f>
        <v>5.7870370370370381</v>
      </c>
      <c r="U66">
        <f t="shared" ref="U66:U97" si="18">S66+T66</f>
        <v>5.7870370370370381</v>
      </c>
    </row>
    <row r="67" spans="1:21" x14ac:dyDescent="0.55000000000000004">
      <c r="A67">
        <v>322</v>
      </c>
      <c r="B67">
        <v>50</v>
      </c>
      <c r="C67">
        <v>145.83333333333334</v>
      </c>
      <c r="D67">
        <v>208.33333333333334</v>
      </c>
      <c r="E67">
        <v>145.83333333333334</v>
      </c>
      <c r="F67">
        <f t="shared" ref="F67:F130" si="19">SUM(C67:E67)</f>
        <v>500</v>
      </c>
      <c r="G67">
        <f t="shared" si="13"/>
        <v>8.7500000000000008E-2</v>
      </c>
      <c r="H67">
        <f t="shared" si="14"/>
        <v>0.125</v>
      </c>
      <c r="I67">
        <f t="shared" si="15"/>
        <v>8.7500000000000008E-2</v>
      </c>
      <c r="J67">
        <f t="shared" si="16"/>
        <v>0.30000000000000004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si="17"/>
        <v>2.7777777777777777</v>
      </c>
      <c r="U67">
        <f t="shared" si="18"/>
        <v>2.7777777777777777</v>
      </c>
    </row>
    <row r="68" spans="1:21" x14ac:dyDescent="0.55000000000000004">
      <c r="A68">
        <v>322</v>
      </c>
      <c r="B68">
        <v>47.5</v>
      </c>
      <c r="C68">
        <v>145.83333333333334</v>
      </c>
      <c r="D68">
        <v>208.33333333333334</v>
      </c>
      <c r="E68">
        <v>145.83333333333334</v>
      </c>
      <c r="F68">
        <f t="shared" si="19"/>
        <v>500</v>
      </c>
      <c r="G68">
        <f t="shared" si="13"/>
        <v>9.2105263157894746E-2</v>
      </c>
      <c r="H68">
        <f t="shared" si="14"/>
        <v>0.13157894736842107</v>
      </c>
      <c r="I68">
        <f t="shared" si="15"/>
        <v>9.2105263157894746E-2</v>
      </c>
      <c r="J68">
        <f t="shared" si="16"/>
        <v>0.31578947368421056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f t="shared" si="17"/>
        <v>2.9239766081871346</v>
      </c>
      <c r="U68">
        <f t="shared" si="18"/>
        <v>2.9239766081871346</v>
      </c>
    </row>
    <row r="69" spans="1:21" x14ac:dyDescent="0.55000000000000004">
      <c r="A69">
        <v>322</v>
      </c>
      <c r="B69">
        <v>45</v>
      </c>
      <c r="C69">
        <v>145.83333333333334</v>
      </c>
      <c r="D69">
        <v>208.33333333333334</v>
      </c>
      <c r="E69">
        <v>145.83333333333334</v>
      </c>
      <c r="F69">
        <f t="shared" si="19"/>
        <v>500</v>
      </c>
      <c r="G69">
        <f t="shared" si="13"/>
        <v>9.7222222222222224E-2</v>
      </c>
      <c r="H69">
        <f t="shared" si="14"/>
        <v>0.1388888888888889</v>
      </c>
      <c r="I69">
        <f t="shared" si="15"/>
        <v>9.7222222222222224E-2</v>
      </c>
      <c r="J69">
        <f t="shared" si="16"/>
        <v>0.33333333333333331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si="17"/>
        <v>3.0864197530864197</v>
      </c>
      <c r="U69">
        <f t="shared" si="18"/>
        <v>3.0864197530864197</v>
      </c>
    </row>
    <row r="70" spans="1:21" x14ac:dyDescent="0.55000000000000004">
      <c r="A70">
        <v>322</v>
      </c>
      <c r="B70">
        <v>42.5</v>
      </c>
      <c r="C70">
        <v>145.83333333333334</v>
      </c>
      <c r="D70">
        <v>208.33333333333334</v>
      </c>
      <c r="E70">
        <v>145.83333333333334</v>
      </c>
      <c r="F70">
        <f t="shared" si="19"/>
        <v>500</v>
      </c>
      <c r="G70">
        <f t="shared" si="13"/>
        <v>0.10294117647058823</v>
      </c>
      <c r="H70">
        <f t="shared" si="14"/>
        <v>0.14705882352941177</v>
      </c>
      <c r="I70">
        <f t="shared" si="15"/>
        <v>0.10294117647058823</v>
      </c>
      <c r="J70">
        <f t="shared" si="16"/>
        <v>0.3529411764705882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17"/>
        <v>3.2679738562091507</v>
      </c>
      <c r="U70">
        <f t="shared" si="18"/>
        <v>3.2679738562091507</v>
      </c>
    </row>
    <row r="71" spans="1:21" x14ac:dyDescent="0.55000000000000004">
      <c r="A71">
        <v>322</v>
      </c>
      <c r="B71">
        <v>40</v>
      </c>
      <c r="C71">
        <v>145.83333333333334</v>
      </c>
      <c r="D71">
        <v>208.33333333333334</v>
      </c>
      <c r="E71">
        <v>145.83333333333334</v>
      </c>
      <c r="F71">
        <f t="shared" si="19"/>
        <v>500</v>
      </c>
      <c r="G71">
        <f t="shared" si="13"/>
        <v>0.10937500000000001</v>
      </c>
      <c r="H71">
        <f t="shared" si="14"/>
        <v>0.15625000000000003</v>
      </c>
      <c r="I71">
        <f t="shared" si="15"/>
        <v>0.10937500000000001</v>
      </c>
      <c r="J71">
        <f t="shared" si="16"/>
        <v>0.37500000000000006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17"/>
        <v>3.4722222222222223</v>
      </c>
      <c r="U71">
        <f t="shared" si="18"/>
        <v>3.4722222222222223</v>
      </c>
    </row>
    <row r="72" spans="1:21" x14ac:dyDescent="0.55000000000000004">
      <c r="A72">
        <v>322</v>
      </c>
      <c r="B72">
        <v>37.5</v>
      </c>
      <c r="C72">
        <v>145.83333333333334</v>
      </c>
      <c r="D72">
        <v>208.33333333333334</v>
      </c>
      <c r="E72">
        <v>145.83333333333334</v>
      </c>
      <c r="F72">
        <f t="shared" si="19"/>
        <v>500</v>
      </c>
      <c r="G72">
        <f t="shared" si="13"/>
        <v>0.11666666666666667</v>
      </c>
      <c r="H72">
        <f t="shared" si="14"/>
        <v>0.16666666666666669</v>
      </c>
      <c r="I72">
        <f t="shared" si="15"/>
        <v>0.11666666666666667</v>
      </c>
      <c r="J72">
        <f t="shared" si="16"/>
        <v>0.4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17"/>
        <v>3.7037037037037037</v>
      </c>
      <c r="U72">
        <f t="shared" si="18"/>
        <v>3.7037037037037037</v>
      </c>
    </row>
    <row r="73" spans="1:21" x14ac:dyDescent="0.55000000000000004">
      <c r="A73">
        <v>322</v>
      </c>
      <c r="B73">
        <v>35</v>
      </c>
      <c r="C73">
        <v>145.83333333333334</v>
      </c>
      <c r="D73">
        <v>208.33333333333334</v>
      </c>
      <c r="E73">
        <v>145.83333333333334</v>
      </c>
      <c r="F73">
        <f t="shared" si="19"/>
        <v>500</v>
      </c>
      <c r="G73">
        <f t="shared" si="13"/>
        <v>0.125</v>
      </c>
      <c r="H73">
        <f t="shared" si="14"/>
        <v>0.17857142857142858</v>
      </c>
      <c r="I73">
        <f t="shared" si="15"/>
        <v>0.125</v>
      </c>
      <c r="J73">
        <f t="shared" si="16"/>
        <v>0.4285714285714286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17"/>
        <v>3.9682539682539684</v>
      </c>
      <c r="U73">
        <f t="shared" si="18"/>
        <v>3.9682539682539684</v>
      </c>
    </row>
    <row r="74" spans="1:21" x14ac:dyDescent="0.55000000000000004">
      <c r="A74">
        <v>322</v>
      </c>
      <c r="B74">
        <v>32.5</v>
      </c>
      <c r="C74">
        <v>145.83333333333334</v>
      </c>
      <c r="D74">
        <v>208.33333333333334</v>
      </c>
      <c r="E74">
        <v>145.83333333333334</v>
      </c>
      <c r="F74">
        <f t="shared" si="19"/>
        <v>500</v>
      </c>
      <c r="G74">
        <f t="shared" si="13"/>
        <v>0.13461538461538464</v>
      </c>
      <c r="H74">
        <f t="shared" si="14"/>
        <v>0.19230769230769232</v>
      </c>
      <c r="I74">
        <f t="shared" si="15"/>
        <v>0.13461538461538464</v>
      </c>
      <c r="J74">
        <f t="shared" si="16"/>
        <v>0.46153846153846162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17"/>
        <v>4.2735042735042734</v>
      </c>
      <c r="U74">
        <f t="shared" si="18"/>
        <v>4.2735042735042734</v>
      </c>
    </row>
    <row r="75" spans="1:21" x14ac:dyDescent="0.55000000000000004">
      <c r="A75">
        <v>322</v>
      </c>
      <c r="B75">
        <v>30</v>
      </c>
      <c r="C75">
        <v>145.83333333333334</v>
      </c>
      <c r="D75">
        <v>208.33333333333334</v>
      </c>
      <c r="E75">
        <v>145.83333333333334</v>
      </c>
      <c r="F75">
        <f t="shared" si="19"/>
        <v>500</v>
      </c>
      <c r="G75">
        <f t="shared" si="13"/>
        <v>0.14583333333333334</v>
      </c>
      <c r="H75">
        <f t="shared" si="14"/>
        <v>0.20833333333333334</v>
      </c>
      <c r="I75">
        <f t="shared" si="15"/>
        <v>0.14583333333333334</v>
      </c>
      <c r="J75">
        <f t="shared" si="16"/>
        <v>0.5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17"/>
        <v>4.6296296296296298</v>
      </c>
      <c r="U75">
        <f t="shared" si="18"/>
        <v>4.6296296296296298</v>
      </c>
    </row>
    <row r="76" spans="1:21" x14ac:dyDescent="0.55000000000000004">
      <c r="A76">
        <v>322</v>
      </c>
      <c r="B76">
        <v>27.5</v>
      </c>
      <c r="C76">
        <v>145.83333333333334</v>
      </c>
      <c r="D76">
        <v>208.33333333333334</v>
      </c>
      <c r="E76">
        <v>145.83333333333334</v>
      </c>
      <c r="F76">
        <f t="shared" si="19"/>
        <v>500</v>
      </c>
      <c r="G76">
        <f t="shared" si="13"/>
        <v>0.15909090909090912</v>
      </c>
      <c r="H76">
        <f t="shared" si="14"/>
        <v>0.22727272727272729</v>
      </c>
      <c r="I76">
        <f t="shared" si="15"/>
        <v>0.15909090909090912</v>
      </c>
      <c r="J76">
        <f t="shared" si="16"/>
        <v>0.54545454545454553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17"/>
        <v>5.0505050505050511</v>
      </c>
      <c r="U76">
        <f t="shared" si="18"/>
        <v>5.0505050505050511</v>
      </c>
    </row>
    <row r="77" spans="1:21" x14ac:dyDescent="0.55000000000000004">
      <c r="A77">
        <v>322</v>
      </c>
      <c r="B77">
        <v>25</v>
      </c>
      <c r="C77">
        <v>145.83333333333334</v>
      </c>
      <c r="D77">
        <v>208.33333333333334</v>
      </c>
      <c r="E77">
        <v>145.83333333333334</v>
      </c>
      <c r="F77">
        <f t="shared" si="19"/>
        <v>500</v>
      </c>
      <c r="G77">
        <f t="shared" si="13"/>
        <v>0.17500000000000002</v>
      </c>
      <c r="H77">
        <f t="shared" si="14"/>
        <v>0.25</v>
      </c>
      <c r="I77">
        <f t="shared" si="15"/>
        <v>0.17500000000000002</v>
      </c>
      <c r="J77">
        <f t="shared" si="16"/>
        <v>0.60000000000000009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17"/>
        <v>5.5555555555555554</v>
      </c>
      <c r="U77">
        <f t="shared" si="18"/>
        <v>5.5555555555555554</v>
      </c>
    </row>
    <row r="78" spans="1:21" x14ac:dyDescent="0.55000000000000004">
      <c r="A78">
        <v>322</v>
      </c>
      <c r="B78">
        <v>22.5</v>
      </c>
      <c r="C78">
        <v>145.83333333333334</v>
      </c>
      <c r="D78">
        <v>208.33333333333334</v>
      </c>
      <c r="E78">
        <v>145.83333333333334</v>
      </c>
      <c r="F78">
        <f t="shared" si="19"/>
        <v>500</v>
      </c>
      <c r="G78">
        <f t="shared" si="13"/>
        <v>0.19444444444444445</v>
      </c>
      <c r="H78">
        <f t="shared" si="14"/>
        <v>0.27777777777777779</v>
      </c>
      <c r="I78">
        <f t="shared" si="15"/>
        <v>0.19444444444444445</v>
      </c>
      <c r="J78">
        <f t="shared" si="16"/>
        <v>0.66666666666666663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17"/>
        <v>6.1728395061728394</v>
      </c>
      <c r="U78">
        <f t="shared" si="18"/>
        <v>6.1728395061728394</v>
      </c>
    </row>
    <row r="79" spans="1:21" x14ac:dyDescent="0.55000000000000004">
      <c r="A79">
        <v>322</v>
      </c>
      <c r="B79">
        <v>20</v>
      </c>
      <c r="C79">
        <v>145.83333333333334</v>
      </c>
      <c r="D79">
        <v>208.33333333333334</v>
      </c>
      <c r="E79">
        <v>145.83333333333334</v>
      </c>
      <c r="F79">
        <f t="shared" si="19"/>
        <v>500</v>
      </c>
      <c r="G79">
        <f t="shared" si="13"/>
        <v>0.21875000000000003</v>
      </c>
      <c r="H79">
        <f t="shared" si="14"/>
        <v>0.31250000000000006</v>
      </c>
      <c r="I79">
        <f t="shared" si="15"/>
        <v>0.21875000000000003</v>
      </c>
      <c r="J79">
        <f t="shared" si="16"/>
        <v>0.75000000000000011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17"/>
        <v>6.9444444444444446</v>
      </c>
      <c r="U79">
        <f t="shared" si="18"/>
        <v>6.9444444444444446</v>
      </c>
    </row>
    <row r="80" spans="1:21" x14ac:dyDescent="0.55000000000000004">
      <c r="A80">
        <v>323</v>
      </c>
      <c r="B80">
        <v>50</v>
      </c>
      <c r="C80">
        <v>187.5</v>
      </c>
      <c r="D80">
        <v>208.33333333333334</v>
      </c>
      <c r="E80">
        <v>187.5</v>
      </c>
      <c r="F80">
        <f t="shared" si="19"/>
        <v>583.33333333333337</v>
      </c>
      <c r="G80">
        <f t="shared" si="13"/>
        <v>0.11249999999999999</v>
      </c>
      <c r="H80">
        <f t="shared" si="14"/>
        <v>0.125</v>
      </c>
      <c r="I80">
        <f t="shared" si="15"/>
        <v>0.11249999999999999</v>
      </c>
      <c r="J80">
        <f t="shared" si="16"/>
        <v>0.35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17"/>
        <v>3.2407407407407409</v>
      </c>
      <c r="U80">
        <f t="shared" si="18"/>
        <v>3.2407407407407409</v>
      </c>
    </row>
    <row r="81" spans="1:21" x14ac:dyDescent="0.55000000000000004">
      <c r="A81">
        <v>323</v>
      </c>
      <c r="B81">
        <v>47.5</v>
      </c>
      <c r="C81">
        <v>187.5</v>
      </c>
      <c r="D81">
        <v>208.33333333333334</v>
      </c>
      <c r="E81">
        <v>187.5</v>
      </c>
      <c r="F81">
        <f t="shared" si="19"/>
        <v>583.33333333333337</v>
      </c>
      <c r="G81">
        <f t="shared" si="13"/>
        <v>0.11842105263157895</v>
      </c>
      <c r="H81">
        <f t="shared" si="14"/>
        <v>0.13157894736842107</v>
      </c>
      <c r="I81">
        <f t="shared" si="15"/>
        <v>0.11842105263157895</v>
      </c>
      <c r="J81">
        <f t="shared" si="16"/>
        <v>0.36842105263157898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17"/>
        <v>3.4113060428849904</v>
      </c>
      <c r="U81">
        <f t="shared" si="18"/>
        <v>3.4113060428849904</v>
      </c>
    </row>
    <row r="82" spans="1:21" x14ac:dyDescent="0.55000000000000004">
      <c r="A82">
        <v>323</v>
      </c>
      <c r="B82">
        <v>45</v>
      </c>
      <c r="C82">
        <v>187.5</v>
      </c>
      <c r="D82">
        <v>208.33333333333334</v>
      </c>
      <c r="E82">
        <v>187.5</v>
      </c>
      <c r="F82">
        <f t="shared" si="19"/>
        <v>583.33333333333337</v>
      </c>
      <c r="G82">
        <f t="shared" si="13"/>
        <v>0.125</v>
      </c>
      <c r="H82">
        <f t="shared" si="14"/>
        <v>0.1388888888888889</v>
      </c>
      <c r="I82">
        <f t="shared" si="15"/>
        <v>0.125</v>
      </c>
      <c r="J82">
        <f t="shared" si="16"/>
        <v>0.3888888888888889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17"/>
        <v>3.6008230452674899</v>
      </c>
      <c r="U82">
        <f t="shared" si="18"/>
        <v>3.6008230452674899</v>
      </c>
    </row>
    <row r="83" spans="1:21" x14ac:dyDescent="0.55000000000000004">
      <c r="A83">
        <v>323</v>
      </c>
      <c r="B83">
        <v>42.5</v>
      </c>
      <c r="C83">
        <v>187.5</v>
      </c>
      <c r="D83">
        <v>208.33333333333334</v>
      </c>
      <c r="E83">
        <v>187.5</v>
      </c>
      <c r="F83">
        <f t="shared" si="19"/>
        <v>583.33333333333337</v>
      </c>
      <c r="G83">
        <f t="shared" si="13"/>
        <v>0.13235294117647059</v>
      </c>
      <c r="H83">
        <f t="shared" si="14"/>
        <v>0.14705882352941177</v>
      </c>
      <c r="I83">
        <f t="shared" si="15"/>
        <v>0.13235294117647059</v>
      </c>
      <c r="J83">
        <f t="shared" si="16"/>
        <v>0.41176470588235292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17"/>
        <v>3.812636165577342</v>
      </c>
      <c r="U83">
        <f t="shared" si="18"/>
        <v>3.812636165577342</v>
      </c>
    </row>
    <row r="84" spans="1:21" x14ac:dyDescent="0.55000000000000004">
      <c r="A84">
        <v>323</v>
      </c>
      <c r="B84">
        <v>40</v>
      </c>
      <c r="C84">
        <v>187.5</v>
      </c>
      <c r="D84">
        <v>208.33333333333334</v>
      </c>
      <c r="E84">
        <v>187.5</v>
      </c>
      <c r="F84">
        <f t="shared" si="19"/>
        <v>583.33333333333337</v>
      </c>
      <c r="G84">
        <f t="shared" si="13"/>
        <v>0.140625</v>
      </c>
      <c r="H84">
        <f t="shared" si="14"/>
        <v>0.15625000000000003</v>
      </c>
      <c r="I84">
        <f t="shared" si="15"/>
        <v>0.140625</v>
      </c>
      <c r="J84">
        <f t="shared" si="16"/>
        <v>0.4375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17"/>
        <v>4.0509259259259265</v>
      </c>
      <c r="U84">
        <f t="shared" si="18"/>
        <v>4.0509259259259265</v>
      </c>
    </row>
    <row r="85" spans="1:21" x14ac:dyDescent="0.55000000000000004">
      <c r="A85">
        <v>323</v>
      </c>
      <c r="B85">
        <v>37.5</v>
      </c>
      <c r="C85">
        <v>187.5</v>
      </c>
      <c r="D85">
        <v>208.33333333333334</v>
      </c>
      <c r="E85">
        <v>187.5</v>
      </c>
      <c r="F85">
        <f t="shared" si="19"/>
        <v>583.33333333333337</v>
      </c>
      <c r="G85">
        <f t="shared" si="13"/>
        <v>0.15</v>
      </c>
      <c r="H85">
        <f t="shared" si="14"/>
        <v>0.16666666666666669</v>
      </c>
      <c r="I85">
        <f t="shared" si="15"/>
        <v>0.15</v>
      </c>
      <c r="J85">
        <f t="shared" si="16"/>
        <v>0.46666666666666667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17"/>
        <v>4.3209876543209882</v>
      </c>
      <c r="U85">
        <f t="shared" si="18"/>
        <v>4.3209876543209882</v>
      </c>
    </row>
    <row r="86" spans="1:21" x14ac:dyDescent="0.55000000000000004">
      <c r="A86">
        <v>323</v>
      </c>
      <c r="B86">
        <v>35</v>
      </c>
      <c r="C86">
        <v>187.5</v>
      </c>
      <c r="D86">
        <v>208.33333333333334</v>
      </c>
      <c r="E86">
        <v>187.5</v>
      </c>
      <c r="F86">
        <f t="shared" si="19"/>
        <v>583.33333333333337</v>
      </c>
      <c r="G86">
        <f t="shared" si="13"/>
        <v>0.1607142857142857</v>
      </c>
      <c r="H86">
        <f t="shared" si="14"/>
        <v>0.17857142857142858</v>
      </c>
      <c r="I86">
        <f t="shared" si="15"/>
        <v>0.1607142857142857</v>
      </c>
      <c r="J86">
        <f t="shared" si="16"/>
        <v>0.5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17"/>
        <v>4.6296296296296298</v>
      </c>
      <c r="U86">
        <f t="shared" si="18"/>
        <v>4.6296296296296298</v>
      </c>
    </row>
    <row r="87" spans="1:21" x14ac:dyDescent="0.55000000000000004">
      <c r="A87">
        <v>323</v>
      </c>
      <c r="B87">
        <v>32.5</v>
      </c>
      <c r="C87">
        <v>187.5</v>
      </c>
      <c r="D87">
        <v>208.33333333333334</v>
      </c>
      <c r="E87">
        <v>187.5</v>
      </c>
      <c r="F87">
        <f t="shared" si="19"/>
        <v>583.33333333333337</v>
      </c>
      <c r="G87">
        <f t="shared" si="13"/>
        <v>0.1730769230769231</v>
      </c>
      <c r="H87">
        <f t="shared" si="14"/>
        <v>0.19230769230769232</v>
      </c>
      <c r="I87">
        <f t="shared" si="15"/>
        <v>0.1730769230769231</v>
      </c>
      <c r="J87">
        <f t="shared" si="16"/>
        <v>0.53846153846153855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17"/>
        <v>4.9857549857549861</v>
      </c>
      <c r="U87">
        <f t="shared" si="18"/>
        <v>4.9857549857549861</v>
      </c>
    </row>
    <row r="88" spans="1:21" x14ac:dyDescent="0.55000000000000004">
      <c r="A88">
        <v>323</v>
      </c>
      <c r="B88">
        <v>30</v>
      </c>
      <c r="C88">
        <v>187.5</v>
      </c>
      <c r="D88">
        <v>208.33333333333334</v>
      </c>
      <c r="E88">
        <v>187.5</v>
      </c>
      <c r="F88">
        <f t="shared" si="19"/>
        <v>583.33333333333337</v>
      </c>
      <c r="G88">
        <f t="shared" si="13"/>
        <v>0.1875</v>
      </c>
      <c r="H88">
        <f t="shared" si="14"/>
        <v>0.20833333333333334</v>
      </c>
      <c r="I88">
        <f t="shared" si="15"/>
        <v>0.1875</v>
      </c>
      <c r="J88">
        <f t="shared" si="16"/>
        <v>0.58333333333333337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17"/>
        <v>5.401234567901235</v>
      </c>
      <c r="U88">
        <f t="shared" si="18"/>
        <v>5.401234567901235</v>
      </c>
    </row>
    <row r="89" spans="1:21" x14ac:dyDescent="0.55000000000000004">
      <c r="A89">
        <v>323</v>
      </c>
      <c r="B89">
        <v>27.5</v>
      </c>
      <c r="C89">
        <v>187.5</v>
      </c>
      <c r="D89">
        <v>208.33333333333334</v>
      </c>
      <c r="E89">
        <v>187.5</v>
      </c>
      <c r="F89">
        <f t="shared" si="19"/>
        <v>583.33333333333337</v>
      </c>
      <c r="G89">
        <f t="shared" si="13"/>
        <v>0.20454545454545456</v>
      </c>
      <c r="H89">
        <f t="shared" si="14"/>
        <v>0.22727272727272729</v>
      </c>
      <c r="I89">
        <f t="shared" si="15"/>
        <v>0.20454545454545456</v>
      </c>
      <c r="J89">
        <f t="shared" si="16"/>
        <v>0.63636363636363646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f t="shared" si="17"/>
        <v>5.8922558922558936</v>
      </c>
      <c r="U89">
        <f t="shared" si="18"/>
        <v>5.8922558922558936</v>
      </c>
    </row>
    <row r="90" spans="1:21" x14ac:dyDescent="0.55000000000000004">
      <c r="A90">
        <v>323</v>
      </c>
      <c r="B90">
        <v>25</v>
      </c>
      <c r="C90">
        <v>187.5</v>
      </c>
      <c r="D90">
        <v>208.33333333333334</v>
      </c>
      <c r="E90">
        <v>187.5</v>
      </c>
      <c r="F90">
        <f t="shared" si="19"/>
        <v>583.33333333333337</v>
      </c>
      <c r="G90">
        <f t="shared" si="13"/>
        <v>0.22499999999999998</v>
      </c>
      <c r="H90">
        <f t="shared" si="14"/>
        <v>0.25</v>
      </c>
      <c r="I90">
        <f t="shared" si="15"/>
        <v>0.22499999999999998</v>
      </c>
      <c r="J90">
        <f t="shared" si="16"/>
        <v>0.7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17"/>
        <v>6.4814814814814818</v>
      </c>
      <c r="U90">
        <f t="shared" si="18"/>
        <v>6.4814814814814818</v>
      </c>
    </row>
    <row r="91" spans="1:21" x14ac:dyDescent="0.55000000000000004">
      <c r="A91">
        <v>323</v>
      </c>
      <c r="B91">
        <v>22.5</v>
      </c>
      <c r="C91">
        <v>187.5</v>
      </c>
      <c r="D91">
        <v>208.33333333333334</v>
      </c>
      <c r="E91">
        <v>187.5</v>
      </c>
      <c r="F91">
        <f t="shared" si="19"/>
        <v>583.33333333333337</v>
      </c>
      <c r="G91">
        <f t="shared" si="13"/>
        <v>0.25</v>
      </c>
      <c r="H91">
        <f t="shared" si="14"/>
        <v>0.27777777777777779</v>
      </c>
      <c r="I91">
        <f t="shared" si="15"/>
        <v>0.25</v>
      </c>
      <c r="J91">
        <f t="shared" si="16"/>
        <v>0.77777777777777779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17"/>
        <v>7.2016460905349797</v>
      </c>
      <c r="U91">
        <f t="shared" si="18"/>
        <v>7.2016460905349797</v>
      </c>
    </row>
    <row r="92" spans="1:21" x14ac:dyDescent="0.55000000000000004">
      <c r="A92">
        <v>323</v>
      </c>
      <c r="B92">
        <v>20</v>
      </c>
      <c r="C92">
        <v>187.5</v>
      </c>
      <c r="D92">
        <v>208.33333333333334</v>
      </c>
      <c r="E92">
        <v>187.5</v>
      </c>
      <c r="F92">
        <f t="shared" si="19"/>
        <v>583.33333333333337</v>
      </c>
      <c r="G92">
        <f t="shared" si="13"/>
        <v>0.28125</v>
      </c>
      <c r="H92">
        <f t="shared" si="14"/>
        <v>0.31250000000000006</v>
      </c>
      <c r="I92">
        <f t="shared" si="15"/>
        <v>0.28125</v>
      </c>
      <c r="J92">
        <f t="shared" si="16"/>
        <v>0.875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f t="shared" si="17"/>
        <v>8.101851851851853</v>
      </c>
      <c r="U92">
        <f t="shared" si="18"/>
        <v>8.101851851851853</v>
      </c>
    </row>
    <row r="93" spans="1:21" x14ac:dyDescent="0.55000000000000004">
      <c r="A93">
        <v>324</v>
      </c>
      <c r="B93">
        <v>50</v>
      </c>
      <c r="C93">
        <v>104.16666666666667</v>
      </c>
      <c r="D93">
        <v>208.33333333333334</v>
      </c>
      <c r="E93">
        <v>104.16666666666667</v>
      </c>
      <c r="F93">
        <f t="shared" si="19"/>
        <v>416.66666666666669</v>
      </c>
      <c r="G93">
        <f t="shared" si="13"/>
        <v>6.25E-2</v>
      </c>
      <c r="H93">
        <f t="shared" si="14"/>
        <v>0.125</v>
      </c>
      <c r="I93">
        <f t="shared" si="15"/>
        <v>6.25E-2</v>
      </c>
      <c r="J93">
        <f t="shared" si="16"/>
        <v>0.25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17"/>
        <v>2.3148148148148149</v>
      </c>
      <c r="U93">
        <f t="shared" si="18"/>
        <v>2.3148148148148149</v>
      </c>
    </row>
    <row r="94" spans="1:21" x14ac:dyDescent="0.55000000000000004">
      <c r="A94">
        <v>324</v>
      </c>
      <c r="B94">
        <v>47.5</v>
      </c>
      <c r="C94">
        <v>104.16666666666667</v>
      </c>
      <c r="D94">
        <v>208.33333333333334</v>
      </c>
      <c r="E94">
        <v>104.16666666666667</v>
      </c>
      <c r="F94">
        <f t="shared" si="19"/>
        <v>416.66666666666669</v>
      </c>
      <c r="G94">
        <f t="shared" si="13"/>
        <v>6.5789473684210537E-2</v>
      </c>
      <c r="H94">
        <f t="shared" si="14"/>
        <v>0.13157894736842107</v>
      </c>
      <c r="I94">
        <f t="shared" si="15"/>
        <v>6.5789473684210537E-2</v>
      </c>
      <c r="J94">
        <f t="shared" si="16"/>
        <v>0.26315789473684215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17"/>
        <v>2.4366471734892792</v>
      </c>
      <c r="U94">
        <f t="shared" si="18"/>
        <v>2.4366471734892792</v>
      </c>
    </row>
    <row r="95" spans="1:21" x14ac:dyDescent="0.55000000000000004">
      <c r="A95">
        <v>324</v>
      </c>
      <c r="B95">
        <v>45</v>
      </c>
      <c r="C95">
        <v>104.16666666666667</v>
      </c>
      <c r="D95">
        <v>208.33333333333334</v>
      </c>
      <c r="E95">
        <v>104.16666666666667</v>
      </c>
      <c r="F95">
        <f t="shared" si="19"/>
        <v>416.66666666666669</v>
      </c>
      <c r="G95">
        <f t="shared" si="13"/>
        <v>6.9444444444444448E-2</v>
      </c>
      <c r="H95">
        <f t="shared" si="14"/>
        <v>0.1388888888888889</v>
      </c>
      <c r="I95">
        <f t="shared" si="15"/>
        <v>6.9444444444444448E-2</v>
      </c>
      <c r="J95">
        <f t="shared" si="16"/>
        <v>0.27777777777777779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17"/>
        <v>2.57201646090535</v>
      </c>
      <c r="U95">
        <f t="shared" si="18"/>
        <v>2.57201646090535</v>
      </c>
    </row>
    <row r="96" spans="1:21" x14ac:dyDescent="0.55000000000000004">
      <c r="A96">
        <v>324</v>
      </c>
      <c r="B96">
        <v>42.5</v>
      </c>
      <c r="C96">
        <v>104.16666666666667</v>
      </c>
      <c r="D96">
        <v>208.33333333333334</v>
      </c>
      <c r="E96">
        <v>104.16666666666667</v>
      </c>
      <c r="F96">
        <f t="shared" si="19"/>
        <v>416.66666666666669</v>
      </c>
      <c r="G96">
        <f t="shared" si="13"/>
        <v>7.3529411764705885E-2</v>
      </c>
      <c r="H96">
        <f t="shared" si="14"/>
        <v>0.14705882352941177</v>
      </c>
      <c r="I96">
        <f t="shared" si="15"/>
        <v>7.3529411764705885E-2</v>
      </c>
      <c r="J96">
        <f t="shared" si="16"/>
        <v>0.29411764705882354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17"/>
        <v>2.7233115468409586</v>
      </c>
      <c r="U96">
        <f t="shared" si="18"/>
        <v>2.7233115468409586</v>
      </c>
    </row>
    <row r="97" spans="1:21" x14ac:dyDescent="0.55000000000000004">
      <c r="A97">
        <v>324</v>
      </c>
      <c r="B97">
        <v>40</v>
      </c>
      <c r="C97">
        <v>104.16666666666667</v>
      </c>
      <c r="D97">
        <v>208.33333333333334</v>
      </c>
      <c r="E97">
        <v>104.16666666666667</v>
      </c>
      <c r="F97">
        <f t="shared" si="19"/>
        <v>416.66666666666669</v>
      </c>
      <c r="G97">
        <f t="shared" si="13"/>
        <v>7.8125000000000014E-2</v>
      </c>
      <c r="H97">
        <f t="shared" si="14"/>
        <v>0.15625000000000003</v>
      </c>
      <c r="I97">
        <f t="shared" si="15"/>
        <v>7.8125000000000014E-2</v>
      </c>
      <c r="J97">
        <f t="shared" si="16"/>
        <v>0.31250000000000006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f t="shared" si="17"/>
        <v>2.893518518518519</v>
      </c>
      <c r="U97">
        <f t="shared" si="18"/>
        <v>2.893518518518519</v>
      </c>
    </row>
    <row r="98" spans="1:21" x14ac:dyDescent="0.55000000000000004">
      <c r="A98">
        <v>324</v>
      </c>
      <c r="B98">
        <v>37.5</v>
      </c>
      <c r="C98">
        <v>104.16666666666667</v>
      </c>
      <c r="D98">
        <v>208.33333333333334</v>
      </c>
      <c r="E98">
        <v>104.16666666666667</v>
      </c>
      <c r="F98">
        <f t="shared" si="19"/>
        <v>416.66666666666669</v>
      </c>
      <c r="G98">
        <f t="shared" ref="G98:G129" si="20">C98/(120*$B98*1000/3600)</f>
        <v>8.3333333333333343E-2</v>
      </c>
      <c r="H98">
        <f t="shared" ref="H98:H129" si="21">D98/(120*$B98*1000/3600)</f>
        <v>0.16666666666666669</v>
      </c>
      <c r="I98">
        <f t="shared" ref="I98:I129" si="22">E98/(120*$B98*1000/3600)</f>
        <v>8.3333333333333343E-2</v>
      </c>
      <c r="J98">
        <f t="shared" ref="J98:J129" si="23">SUM(G98:I98)</f>
        <v>0.33333333333333337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ref="T98:T129" si="24">F98/B98*1000/3600</f>
        <v>3.0864197530864201</v>
      </c>
      <c r="U98">
        <f t="shared" ref="U98:U129" si="25">S98+T98</f>
        <v>3.0864197530864201</v>
      </c>
    </row>
    <row r="99" spans="1:21" x14ac:dyDescent="0.55000000000000004">
      <c r="A99">
        <v>324</v>
      </c>
      <c r="B99">
        <v>35</v>
      </c>
      <c r="C99">
        <v>104.16666666666667</v>
      </c>
      <c r="D99">
        <v>208.33333333333334</v>
      </c>
      <c r="E99">
        <v>104.16666666666667</v>
      </c>
      <c r="F99">
        <f t="shared" si="19"/>
        <v>416.66666666666669</v>
      </c>
      <c r="G99">
        <f t="shared" si="20"/>
        <v>8.9285714285714288E-2</v>
      </c>
      <c r="H99">
        <f t="shared" si="21"/>
        <v>0.17857142857142858</v>
      </c>
      <c r="I99">
        <f t="shared" si="22"/>
        <v>8.9285714285714288E-2</v>
      </c>
      <c r="J99">
        <f t="shared" si="23"/>
        <v>0.35714285714285715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24"/>
        <v>3.306878306878307</v>
      </c>
      <c r="U99">
        <f t="shared" si="25"/>
        <v>3.306878306878307</v>
      </c>
    </row>
    <row r="100" spans="1:21" x14ac:dyDescent="0.55000000000000004">
      <c r="A100">
        <v>324</v>
      </c>
      <c r="B100">
        <v>32.5</v>
      </c>
      <c r="C100">
        <v>104.16666666666667</v>
      </c>
      <c r="D100">
        <v>208.33333333333334</v>
      </c>
      <c r="E100">
        <v>104.16666666666667</v>
      </c>
      <c r="F100">
        <f t="shared" si="19"/>
        <v>416.66666666666669</v>
      </c>
      <c r="G100">
        <f t="shared" si="20"/>
        <v>9.6153846153846159E-2</v>
      </c>
      <c r="H100">
        <f t="shared" si="21"/>
        <v>0.19230769230769232</v>
      </c>
      <c r="I100">
        <f t="shared" si="22"/>
        <v>9.6153846153846159E-2</v>
      </c>
      <c r="J100">
        <f t="shared" si="23"/>
        <v>0.38461538461538464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 t="shared" si="24"/>
        <v>3.5612535612535612</v>
      </c>
      <c r="U100">
        <f t="shared" si="25"/>
        <v>3.5612535612535612</v>
      </c>
    </row>
    <row r="101" spans="1:21" x14ac:dyDescent="0.55000000000000004">
      <c r="A101">
        <v>324</v>
      </c>
      <c r="B101">
        <v>30</v>
      </c>
      <c r="C101">
        <v>104.16666666666667</v>
      </c>
      <c r="D101">
        <v>208.33333333333334</v>
      </c>
      <c r="E101">
        <v>104.16666666666667</v>
      </c>
      <c r="F101">
        <f t="shared" si="19"/>
        <v>416.66666666666669</v>
      </c>
      <c r="G101">
        <f t="shared" si="20"/>
        <v>0.10416666666666667</v>
      </c>
      <c r="H101">
        <f t="shared" si="21"/>
        <v>0.20833333333333334</v>
      </c>
      <c r="I101">
        <f t="shared" si="22"/>
        <v>0.10416666666666667</v>
      </c>
      <c r="J101">
        <f t="shared" si="23"/>
        <v>0.41666666666666669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24"/>
        <v>3.8580246913580245</v>
      </c>
      <c r="U101">
        <f t="shared" si="25"/>
        <v>3.8580246913580245</v>
      </c>
    </row>
    <row r="102" spans="1:21" x14ac:dyDescent="0.55000000000000004">
      <c r="A102">
        <v>324</v>
      </c>
      <c r="B102">
        <v>27.5</v>
      </c>
      <c r="C102">
        <v>104.16666666666667</v>
      </c>
      <c r="D102">
        <v>208.33333333333334</v>
      </c>
      <c r="E102">
        <v>104.16666666666667</v>
      </c>
      <c r="F102">
        <f t="shared" si="19"/>
        <v>416.66666666666669</v>
      </c>
      <c r="G102">
        <f t="shared" si="20"/>
        <v>0.11363636363636365</v>
      </c>
      <c r="H102">
        <f t="shared" si="21"/>
        <v>0.22727272727272729</v>
      </c>
      <c r="I102">
        <f t="shared" si="22"/>
        <v>0.11363636363636365</v>
      </c>
      <c r="J102">
        <f t="shared" si="23"/>
        <v>0.45454545454545459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24"/>
        <v>4.2087542087542085</v>
      </c>
      <c r="U102">
        <f t="shared" si="25"/>
        <v>4.2087542087542085</v>
      </c>
    </row>
    <row r="103" spans="1:21" x14ac:dyDescent="0.55000000000000004">
      <c r="A103">
        <v>324</v>
      </c>
      <c r="B103">
        <v>25</v>
      </c>
      <c r="C103">
        <v>104.16666666666667</v>
      </c>
      <c r="D103">
        <v>208.33333333333334</v>
      </c>
      <c r="E103">
        <v>104.16666666666667</v>
      </c>
      <c r="F103">
        <f t="shared" si="19"/>
        <v>416.66666666666669</v>
      </c>
      <c r="G103">
        <f t="shared" si="20"/>
        <v>0.125</v>
      </c>
      <c r="H103">
        <f t="shared" si="21"/>
        <v>0.25</v>
      </c>
      <c r="I103">
        <f t="shared" si="22"/>
        <v>0.125</v>
      </c>
      <c r="J103">
        <f t="shared" si="23"/>
        <v>0.5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24"/>
        <v>4.6296296296296298</v>
      </c>
      <c r="U103">
        <f t="shared" si="25"/>
        <v>4.6296296296296298</v>
      </c>
    </row>
    <row r="104" spans="1:21" x14ac:dyDescent="0.55000000000000004">
      <c r="A104">
        <v>324</v>
      </c>
      <c r="B104">
        <v>22.5</v>
      </c>
      <c r="C104">
        <v>104.16666666666667</v>
      </c>
      <c r="D104">
        <v>208.33333333333334</v>
      </c>
      <c r="E104">
        <v>104.16666666666667</v>
      </c>
      <c r="F104">
        <f t="shared" si="19"/>
        <v>416.66666666666669</v>
      </c>
      <c r="G104">
        <f t="shared" si="20"/>
        <v>0.1388888888888889</v>
      </c>
      <c r="H104">
        <f t="shared" si="21"/>
        <v>0.27777777777777779</v>
      </c>
      <c r="I104">
        <f t="shared" si="22"/>
        <v>0.1388888888888889</v>
      </c>
      <c r="J104">
        <f t="shared" si="23"/>
        <v>0.55555555555555558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24"/>
        <v>5.1440329218106999</v>
      </c>
      <c r="U104">
        <f t="shared" si="25"/>
        <v>5.1440329218106999</v>
      </c>
    </row>
    <row r="105" spans="1:21" x14ac:dyDescent="0.55000000000000004">
      <c r="A105">
        <v>324</v>
      </c>
      <c r="B105">
        <v>20</v>
      </c>
      <c r="C105">
        <v>104.16666666666667</v>
      </c>
      <c r="D105">
        <v>208.33333333333334</v>
      </c>
      <c r="E105">
        <v>104.16666666666667</v>
      </c>
      <c r="F105">
        <f t="shared" si="19"/>
        <v>416.66666666666669</v>
      </c>
      <c r="G105">
        <f t="shared" si="20"/>
        <v>0.15625000000000003</v>
      </c>
      <c r="H105">
        <f t="shared" si="21"/>
        <v>0.31250000000000006</v>
      </c>
      <c r="I105">
        <f t="shared" si="22"/>
        <v>0.15625000000000003</v>
      </c>
      <c r="J105">
        <f t="shared" si="23"/>
        <v>0.62500000000000011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24"/>
        <v>5.7870370370370381</v>
      </c>
      <c r="U105">
        <f t="shared" si="25"/>
        <v>5.7870370370370381</v>
      </c>
    </row>
    <row r="106" spans="1:21" x14ac:dyDescent="0.55000000000000004">
      <c r="A106">
        <v>331</v>
      </c>
      <c r="B106">
        <v>50</v>
      </c>
      <c r="C106">
        <v>104.16666666666667</v>
      </c>
      <c r="D106">
        <v>104.16666666666667</v>
      </c>
      <c r="E106">
        <v>104.16666666666667</v>
      </c>
      <c r="F106">
        <f t="shared" si="19"/>
        <v>312.5</v>
      </c>
      <c r="G106">
        <f t="shared" si="20"/>
        <v>6.25E-2</v>
      </c>
      <c r="H106">
        <f t="shared" si="21"/>
        <v>6.25E-2</v>
      </c>
      <c r="I106">
        <f t="shared" si="22"/>
        <v>6.25E-2</v>
      </c>
      <c r="J106">
        <f t="shared" si="23"/>
        <v>0.1875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 t="shared" si="24"/>
        <v>1.7361111111111112</v>
      </c>
      <c r="U106">
        <f t="shared" si="25"/>
        <v>1.7361111111111112</v>
      </c>
    </row>
    <row r="107" spans="1:21" x14ac:dyDescent="0.55000000000000004">
      <c r="A107">
        <v>331</v>
      </c>
      <c r="B107">
        <v>47.5</v>
      </c>
      <c r="C107">
        <v>104.16666666666667</v>
      </c>
      <c r="D107">
        <v>104.16666666666667</v>
      </c>
      <c r="E107">
        <v>104.16666666666667</v>
      </c>
      <c r="F107">
        <f t="shared" si="19"/>
        <v>312.5</v>
      </c>
      <c r="G107">
        <f t="shared" si="20"/>
        <v>6.5789473684210537E-2</v>
      </c>
      <c r="H107">
        <f t="shared" si="21"/>
        <v>6.5789473684210537E-2</v>
      </c>
      <c r="I107">
        <f t="shared" si="22"/>
        <v>6.5789473684210537E-2</v>
      </c>
      <c r="J107">
        <f t="shared" si="23"/>
        <v>0.19736842105263161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 t="shared" si="24"/>
        <v>1.827485380116959</v>
      </c>
      <c r="U107">
        <f t="shared" si="25"/>
        <v>1.827485380116959</v>
      </c>
    </row>
    <row r="108" spans="1:21" x14ac:dyDescent="0.55000000000000004">
      <c r="A108">
        <v>331</v>
      </c>
      <c r="B108">
        <v>45</v>
      </c>
      <c r="C108">
        <v>104.16666666666667</v>
      </c>
      <c r="D108">
        <v>104.16666666666667</v>
      </c>
      <c r="E108">
        <v>104.16666666666667</v>
      </c>
      <c r="F108">
        <f t="shared" si="19"/>
        <v>312.5</v>
      </c>
      <c r="G108">
        <f t="shared" si="20"/>
        <v>6.9444444444444448E-2</v>
      </c>
      <c r="H108">
        <f t="shared" si="21"/>
        <v>6.9444444444444448E-2</v>
      </c>
      <c r="I108">
        <f t="shared" si="22"/>
        <v>6.9444444444444448E-2</v>
      </c>
      <c r="J108">
        <f t="shared" si="23"/>
        <v>0.20833333333333334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24"/>
        <v>1.9290123456790123</v>
      </c>
      <c r="U108">
        <f t="shared" si="25"/>
        <v>1.9290123456790123</v>
      </c>
    </row>
    <row r="109" spans="1:21" x14ac:dyDescent="0.55000000000000004">
      <c r="A109">
        <v>331</v>
      </c>
      <c r="B109">
        <v>42.5</v>
      </c>
      <c r="C109">
        <v>104.16666666666667</v>
      </c>
      <c r="D109">
        <v>104.16666666666667</v>
      </c>
      <c r="E109">
        <v>104.16666666666667</v>
      </c>
      <c r="F109">
        <f t="shared" si="19"/>
        <v>312.5</v>
      </c>
      <c r="G109">
        <f t="shared" si="20"/>
        <v>7.3529411764705885E-2</v>
      </c>
      <c r="H109">
        <f t="shared" si="21"/>
        <v>7.3529411764705885E-2</v>
      </c>
      <c r="I109">
        <f t="shared" si="22"/>
        <v>7.3529411764705885E-2</v>
      </c>
      <c r="J109">
        <f t="shared" si="23"/>
        <v>0.22058823529411764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 t="shared" si="24"/>
        <v>2.0424836601307188</v>
      </c>
      <c r="U109">
        <f t="shared" si="25"/>
        <v>2.0424836601307188</v>
      </c>
    </row>
    <row r="110" spans="1:21" x14ac:dyDescent="0.55000000000000004">
      <c r="A110">
        <v>331</v>
      </c>
      <c r="B110">
        <v>40</v>
      </c>
      <c r="C110">
        <v>104.16666666666667</v>
      </c>
      <c r="D110">
        <v>104.16666666666667</v>
      </c>
      <c r="E110">
        <v>104.16666666666667</v>
      </c>
      <c r="F110">
        <f t="shared" si="19"/>
        <v>312.5</v>
      </c>
      <c r="G110">
        <f t="shared" si="20"/>
        <v>7.8125000000000014E-2</v>
      </c>
      <c r="H110">
        <f t="shared" si="21"/>
        <v>7.8125000000000014E-2</v>
      </c>
      <c r="I110">
        <f t="shared" si="22"/>
        <v>7.8125000000000014E-2</v>
      </c>
      <c r="J110">
        <f t="shared" si="23"/>
        <v>0.23437500000000006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 t="shared" si="24"/>
        <v>2.1701388888888888</v>
      </c>
      <c r="U110">
        <f t="shared" si="25"/>
        <v>2.1701388888888888</v>
      </c>
    </row>
    <row r="111" spans="1:21" x14ac:dyDescent="0.55000000000000004">
      <c r="A111">
        <v>331</v>
      </c>
      <c r="B111">
        <v>37.5</v>
      </c>
      <c r="C111">
        <v>104.16666666666667</v>
      </c>
      <c r="D111">
        <v>104.16666666666667</v>
      </c>
      <c r="E111">
        <v>104.16666666666667</v>
      </c>
      <c r="F111">
        <f t="shared" si="19"/>
        <v>312.5</v>
      </c>
      <c r="G111">
        <f t="shared" si="20"/>
        <v>8.3333333333333343E-2</v>
      </c>
      <c r="H111">
        <f t="shared" si="21"/>
        <v>8.3333333333333343E-2</v>
      </c>
      <c r="I111">
        <f t="shared" si="22"/>
        <v>8.3333333333333343E-2</v>
      </c>
      <c r="J111">
        <f t="shared" si="23"/>
        <v>0.25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f t="shared" si="24"/>
        <v>2.3148148148148149</v>
      </c>
      <c r="U111">
        <f t="shared" si="25"/>
        <v>2.3148148148148149</v>
      </c>
    </row>
    <row r="112" spans="1:21" x14ac:dyDescent="0.55000000000000004">
      <c r="A112">
        <v>331</v>
      </c>
      <c r="B112">
        <v>35</v>
      </c>
      <c r="C112">
        <v>104.16666666666667</v>
      </c>
      <c r="D112">
        <v>104.16666666666667</v>
      </c>
      <c r="E112">
        <v>104.16666666666667</v>
      </c>
      <c r="F112">
        <f t="shared" si="19"/>
        <v>312.5</v>
      </c>
      <c r="G112">
        <f t="shared" si="20"/>
        <v>8.9285714285714288E-2</v>
      </c>
      <c r="H112">
        <f t="shared" si="21"/>
        <v>8.9285714285714288E-2</v>
      </c>
      <c r="I112">
        <f t="shared" si="22"/>
        <v>8.9285714285714288E-2</v>
      </c>
      <c r="J112">
        <f t="shared" si="23"/>
        <v>0.26785714285714285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f t="shared" si="24"/>
        <v>2.4801587301587302</v>
      </c>
      <c r="U112">
        <f t="shared" si="25"/>
        <v>2.4801587301587302</v>
      </c>
    </row>
    <row r="113" spans="1:21" x14ac:dyDescent="0.55000000000000004">
      <c r="A113">
        <v>331</v>
      </c>
      <c r="B113">
        <v>32.5</v>
      </c>
      <c r="C113">
        <v>104.16666666666667</v>
      </c>
      <c r="D113">
        <v>104.16666666666667</v>
      </c>
      <c r="E113">
        <v>104.16666666666667</v>
      </c>
      <c r="F113">
        <f t="shared" si="19"/>
        <v>312.5</v>
      </c>
      <c r="G113">
        <f t="shared" si="20"/>
        <v>9.6153846153846159E-2</v>
      </c>
      <c r="H113">
        <f t="shared" si="21"/>
        <v>9.6153846153846159E-2</v>
      </c>
      <c r="I113">
        <f t="shared" si="22"/>
        <v>9.6153846153846159E-2</v>
      </c>
      <c r="J113">
        <f t="shared" si="23"/>
        <v>0.28846153846153849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24"/>
        <v>2.6709401709401708</v>
      </c>
      <c r="U113">
        <f t="shared" si="25"/>
        <v>2.6709401709401708</v>
      </c>
    </row>
    <row r="114" spans="1:21" x14ac:dyDescent="0.55000000000000004">
      <c r="A114">
        <v>331</v>
      </c>
      <c r="B114">
        <v>30</v>
      </c>
      <c r="C114">
        <v>104.16666666666667</v>
      </c>
      <c r="D114">
        <v>104.16666666666667</v>
      </c>
      <c r="E114">
        <v>104.16666666666667</v>
      </c>
      <c r="F114">
        <f t="shared" si="19"/>
        <v>312.5</v>
      </c>
      <c r="G114">
        <f t="shared" si="20"/>
        <v>0.10416666666666667</v>
      </c>
      <c r="H114">
        <f t="shared" si="21"/>
        <v>0.10416666666666667</v>
      </c>
      <c r="I114">
        <f t="shared" si="22"/>
        <v>0.10416666666666667</v>
      </c>
      <c r="J114">
        <f t="shared" si="23"/>
        <v>0.3125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24"/>
        <v>2.8935185185185182</v>
      </c>
      <c r="U114">
        <f t="shared" si="25"/>
        <v>2.8935185185185182</v>
      </c>
    </row>
    <row r="115" spans="1:21" x14ac:dyDescent="0.55000000000000004">
      <c r="A115">
        <v>331</v>
      </c>
      <c r="B115">
        <v>27.5</v>
      </c>
      <c r="C115">
        <v>104.16666666666667</v>
      </c>
      <c r="D115">
        <v>104.16666666666667</v>
      </c>
      <c r="E115">
        <v>104.16666666666667</v>
      </c>
      <c r="F115">
        <f t="shared" si="19"/>
        <v>312.5</v>
      </c>
      <c r="G115">
        <f t="shared" si="20"/>
        <v>0.11363636363636365</v>
      </c>
      <c r="H115">
        <f t="shared" si="21"/>
        <v>0.11363636363636365</v>
      </c>
      <c r="I115">
        <f t="shared" si="22"/>
        <v>0.11363636363636365</v>
      </c>
      <c r="J115">
        <f t="shared" si="23"/>
        <v>0.34090909090909094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24"/>
        <v>3.1565656565656566</v>
      </c>
      <c r="U115">
        <f t="shared" si="25"/>
        <v>3.1565656565656566</v>
      </c>
    </row>
    <row r="116" spans="1:21" x14ac:dyDescent="0.55000000000000004">
      <c r="A116">
        <v>331</v>
      </c>
      <c r="B116">
        <v>25</v>
      </c>
      <c r="C116">
        <v>104.16666666666667</v>
      </c>
      <c r="D116">
        <v>104.16666666666667</v>
      </c>
      <c r="E116">
        <v>104.16666666666667</v>
      </c>
      <c r="F116">
        <f t="shared" si="19"/>
        <v>312.5</v>
      </c>
      <c r="G116">
        <f t="shared" si="20"/>
        <v>0.125</v>
      </c>
      <c r="H116">
        <f t="shared" si="21"/>
        <v>0.125</v>
      </c>
      <c r="I116">
        <f t="shared" si="22"/>
        <v>0.125</v>
      </c>
      <c r="J116">
        <f t="shared" si="23"/>
        <v>0.375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 t="shared" si="24"/>
        <v>3.4722222222222223</v>
      </c>
      <c r="U116">
        <f t="shared" si="25"/>
        <v>3.4722222222222223</v>
      </c>
    </row>
    <row r="117" spans="1:21" x14ac:dyDescent="0.55000000000000004">
      <c r="A117">
        <v>331</v>
      </c>
      <c r="B117">
        <v>22.5</v>
      </c>
      <c r="C117">
        <v>104.16666666666667</v>
      </c>
      <c r="D117">
        <v>104.16666666666667</v>
      </c>
      <c r="E117">
        <v>104.16666666666667</v>
      </c>
      <c r="F117">
        <f t="shared" si="19"/>
        <v>312.5</v>
      </c>
      <c r="G117">
        <f t="shared" si="20"/>
        <v>0.1388888888888889</v>
      </c>
      <c r="H117">
        <f t="shared" si="21"/>
        <v>0.1388888888888889</v>
      </c>
      <c r="I117">
        <f t="shared" si="22"/>
        <v>0.1388888888888889</v>
      </c>
      <c r="J117">
        <f t="shared" si="23"/>
        <v>0.41666666666666669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 t="shared" si="24"/>
        <v>3.8580246913580245</v>
      </c>
      <c r="U117">
        <f t="shared" si="25"/>
        <v>3.8580246913580245</v>
      </c>
    </row>
    <row r="118" spans="1:21" x14ac:dyDescent="0.55000000000000004">
      <c r="A118">
        <v>331</v>
      </c>
      <c r="B118">
        <v>20</v>
      </c>
      <c r="C118">
        <v>104.16666666666667</v>
      </c>
      <c r="D118">
        <v>104.16666666666667</v>
      </c>
      <c r="E118">
        <v>104.16666666666667</v>
      </c>
      <c r="F118">
        <f t="shared" si="19"/>
        <v>312.5</v>
      </c>
      <c r="G118">
        <f t="shared" si="20"/>
        <v>0.15625000000000003</v>
      </c>
      <c r="H118">
        <f t="shared" si="21"/>
        <v>0.15625000000000003</v>
      </c>
      <c r="I118">
        <f t="shared" si="22"/>
        <v>0.15625000000000003</v>
      </c>
      <c r="J118">
        <f t="shared" si="23"/>
        <v>0.46875000000000011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 t="shared" si="24"/>
        <v>4.3402777777777777</v>
      </c>
      <c r="U118">
        <f t="shared" si="25"/>
        <v>4.3402777777777777</v>
      </c>
    </row>
    <row r="119" spans="1:21" x14ac:dyDescent="0.55000000000000004">
      <c r="A119">
        <v>332</v>
      </c>
      <c r="B119">
        <v>50</v>
      </c>
      <c r="C119">
        <v>145.83333333333334</v>
      </c>
      <c r="D119">
        <v>104.16666666666667</v>
      </c>
      <c r="E119">
        <v>145.83333333333334</v>
      </c>
      <c r="F119">
        <f t="shared" si="19"/>
        <v>395.83333333333337</v>
      </c>
      <c r="G119">
        <f t="shared" si="20"/>
        <v>8.7500000000000008E-2</v>
      </c>
      <c r="H119">
        <f t="shared" si="21"/>
        <v>6.25E-2</v>
      </c>
      <c r="I119">
        <f t="shared" si="22"/>
        <v>8.7500000000000008E-2</v>
      </c>
      <c r="J119">
        <f t="shared" si="23"/>
        <v>0.23750000000000004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24"/>
        <v>2.1990740740740744</v>
      </c>
      <c r="U119">
        <f t="shared" si="25"/>
        <v>2.1990740740740744</v>
      </c>
    </row>
    <row r="120" spans="1:21" x14ac:dyDescent="0.55000000000000004">
      <c r="A120">
        <v>332</v>
      </c>
      <c r="B120">
        <v>47.5</v>
      </c>
      <c r="C120">
        <v>145.83333333333334</v>
      </c>
      <c r="D120">
        <v>104.16666666666667</v>
      </c>
      <c r="E120">
        <v>145.83333333333334</v>
      </c>
      <c r="F120">
        <f t="shared" si="19"/>
        <v>395.83333333333337</v>
      </c>
      <c r="G120">
        <f t="shared" si="20"/>
        <v>9.2105263157894746E-2</v>
      </c>
      <c r="H120">
        <f t="shared" si="21"/>
        <v>6.5789473684210537E-2</v>
      </c>
      <c r="I120">
        <f t="shared" si="22"/>
        <v>9.2105263157894746E-2</v>
      </c>
      <c r="J120">
        <f t="shared" si="23"/>
        <v>0.25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24"/>
        <v>2.3148148148148149</v>
      </c>
      <c r="U120">
        <f t="shared" si="25"/>
        <v>2.3148148148148149</v>
      </c>
    </row>
    <row r="121" spans="1:21" x14ac:dyDescent="0.55000000000000004">
      <c r="A121">
        <v>332</v>
      </c>
      <c r="B121">
        <v>45</v>
      </c>
      <c r="C121">
        <v>145.83333333333334</v>
      </c>
      <c r="D121">
        <v>104.16666666666667</v>
      </c>
      <c r="E121">
        <v>145.83333333333334</v>
      </c>
      <c r="F121">
        <f t="shared" si="19"/>
        <v>395.83333333333337</v>
      </c>
      <c r="G121">
        <f t="shared" si="20"/>
        <v>9.7222222222222224E-2</v>
      </c>
      <c r="H121">
        <f t="shared" si="21"/>
        <v>6.9444444444444448E-2</v>
      </c>
      <c r="I121">
        <f t="shared" si="22"/>
        <v>9.7222222222222224E-2</v>
      </c>
      <c r="J121">
        <f t="shared" si="23"/>
        <v>0.2638888888888889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 t="shared" si="24"/>
        <v>2.4434156378600824</v>
      </c>
      <c r="U121">
        <f t="shared" si="25"/>
        <v>2.4434156378600824</v>
      </c>
    </row>
    <row r="122" spans="1:21" x14ac:dyDescent="0.55000000000000004">
      <c r="A122">
        <v>332</v>
      </c>
      <c r="B122">
        <v>42.5</v>
      </c>
      <c r="C122">
        <v>145.83333333333334</v>
      </c>
      <c r="D122">
        <v>104.16666666666667</v>
      </c>
      <c r="E122">
        <v>145.83333333333334</v>
      </c>
      <c r="F122">
        <f t="shared" si="19"/>
        <v>395.83333333333337</v>
      </c>
      <c r="G122">
        <f t="shared" si="20"/>
        <v>0.10294117647058823</v>
      </c>
      <c r="H122">
        <f t="shared" si="21"/>
        <v>7.3529411764705885E-2</v>
      </c>
      <c r="I122">
        <f t="shared" si="22"/>
        <v>0.10294117647058823</v>
      </c>
      <c r="J122">
        <f t="shared" si="23"/>
        <v>0.27941176470588236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24"/>
        <v>2.587145969498911</v>
      </c>
      <c r="U122">
        <f t="shared" si="25"/>
        <v>2.587145969498911</v>
      </c>
    </row>
    <row r="123" spans="1:21" x14ac:dyDescent="0.55000000000000004">
      <c r="A123">
        <v>332</v>
      </c>
      <c r="B123">
        <v>40</v>
      </c>
      <c r="C123">
        <v>145.83333333333334</v>
      </c>
      <c r="D123">
        <v>104.16666666666667</v>
      </c>
      <c r="E123">
        <v>145.83333333333334</v>
      </c>
      <c r="F123">
        <f t="shared" si="19"/>
        <v>395.83333333333337</v>
      </c>
      <c r="G123">
        <f t="shared" si="20"/>
        <v>0.10937500000000001</v>
      </c>
      <c r="H123">
        <f t="shared" si="21"/>
        <v>7.8125000000000014E-2</v>
      </c>
      <c r="I123">
        <f t="shared" si="22"/>
        <v>0.10937500000000001</v>
      </c>
      <c r="J123">
        <f t="shared" si="23"/>
        <v>0.29687500000000006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 t="shared" si="24"/>
        <v>2.7488425925925926</v>
      </c>
      <c r="U123">
        <f t="shared" si="25"/>
        <v>2.7488425925925926</v>
      </c>
    </row>
    <row r="124" spans="1:21" x14ac:dyDescent="0.55000000000000004">
      <c r="A124">
        <v>332</v>
      </c>
      <c r="B124">
        <v>37.5</v>
      </c>
      <c r="C124">
        <v>145.83333333333334</v>
      </c>
      <c r="D124">
        <v>104.16666666666667</v>
      </c>
      <c r="E124">
        <v>145.83333333333334</v>
      </c>
      <c r="F124">
        <f t="shared" si="19"/>
        <v>395.83333333333337</v>
      </c>
      <c r="G124">
        <f t="shared" si="20"/>
        <v>0.11666666666666667</v>
      </c>
      <c r="H124">
        <f t="shared" si="21"/>
        <v>8.3333333333333343E-2</v>
      </c>
      <c r="I124">
        <f t="shared" si="22"/>
        <v>0.11666666666666667</v>
      </c>
      <c r="J124">
        <f t="shared" si="23"/>
        <v>0.31666666666666665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f t="shared" si="24"/>
        <v>2.9320987654320989</v>
      </c>
      <c r="U124">
        <f t="shared" si="25"/>
        <v>2.9320987654320989</v>
      </c>
    </row>
    <row r="125" spans="1:21" x14ac:dyDescent="0.55000000000000004">
      <c r="A125">
        <v>332</v>
      </c>
      <c r="B125">
        <v>35</v>
      </c>
      <c r="C125">
        <v>145.83333333333334</v>
      </c>
      <c r="D125">
        <v>104.16666666666667</v>
      </c>
      <c r="E125">
        <v>145.83333333333334</v>
      </c>
      <c r="F125">
        <f t="shared" si="19"/>
        <v>395.83333333333337</v>
      </c>
      <c r="G125">
        <f t="shared" si="20"/>
        <v>0.125</v>
      </c>
      <c r="H125">
        <f t="shared" si="21"/>
        <v>8.9285714285714288E-2</v>
      </c>
      <c r="I125">
        <f t="shared" si="22"/>
        <v>0.125</v>
      </c>
      <c r="J125">
        <f t="shared" si="23"/>
        <v>0.3392857142857143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24"/>
        <v>3.1415343915343921</v>
      </c>
      <c r="U125">
        <f t="shared" si="25"/>
        <v>3.1415343915343921</v>
      </c>
    </row>
    <row r="126" spans="1:21" x14ac:dyDescent="0.55000000000000004">
      <c r="A126">
        <v>332</v>
      </c>
      <c r="B126">
        <v>32.5</v>
      </c>
      <c r="C126">
        <v>145.83333333333334</v>
      </c>
      <c r="D126">
        <v>104.16666666666667</v>
      </c>
      <c r="E126">
        <v>145.83333333333334</v>
      </c>
      <c r="F126">
        <f t="shared" si="19"/>
        <v>395.83333333333337</v>
      </c>
      <c r="G126">
        <f t="shared" si="20"/>
        <v>0.13461538461538464</v>
      </c>
      <c r="H126">
        <f t="shared" si="21"/>
        <v>9.6153846153846159E-2</v>
      </c>
      <c r="I126">
        <f t="shared" si="22"/>
        <v>0.13461538461538464</v>
      </c>
      <c r="J126">
        <f t="shared" si="23"/>
        <v>0.36538461538461542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f t="shared" si="24"/>
        <v>3.3831908831908839</v>
      </c>
      <c r="U126">
        <f t="shared" si="25"/>
        <v>3.3831908831908839</v>
      </c>
    </row>
    <row r="127" spans="1:21" x14ac:dyDescent="0.55000000000000004">
      <c r="A127">
        <v>332</v>
      </c>
      <c r="B127">
        <v>30</v>
      </c>
      <c r="C127">
        <v>145.83333333333334</v>
      </c>
      <c r="D127">
        <v>104.16666666666667</v>
      </c>
      <c r="E127">
        <v>145.83333333333334</v>
      </c>
      <c r="F127">
        <f t="shared" si="19"/>
        <v>395.83333333333337</v>
      </c>
      <c r="G127">
        <f t="shared" si="20"/>
        <v>0.14583333333333334</v>
      </c>
      <c r="H127">
        <f t="shared" si="21"/>
        <v>0.10416666666666667</v>
      </c>
      <c r="I127">
        <f t="shared" si="22"/>
        <v>0.14583333333333334</v>
      </c>
      <c r="J127">
        <f t="shared" si="23"/>
        <v>0.39583333333333337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f t="shared" si="24"/>
        <v>3.6651234567901243</v>
      </c>
      <c r="U127">
        <f t="shared" si="25"/>
        <v>3.6651234567901243</v>
      </c>
    </row>
    <row r="128" spans="1:21" x14ac:dyDescent="0.55000000000000004">
      <c r="A128">
        <v>332</v>
      </c>
      <c r="B128">
        <v>27.5</v>
      </c>
      <c r="C128">
        <v>145.83333333333334</v>
      </c>
      <c r="D128">
        <v>104.16666666666667</v>
      </c>
      <c r="E128">
        <v>145.83333333333334</v>
      </c>
      <c r="F128">
        <f t="shared" si="19"/>
        <v>395.83333333333337</v>
      </c>
      <c r="G128">
        <f t="shared" si="20"/>
        <v>0.15909090909090912</v>
      </c>
      <c r="H128">
        <f t="shared" si="21"/>
        <v>0.11363636363636365</v>
      </c>
      <c r="I128">
        <f t="shared" si="22"/>
        <v>0.15909090909090912</v>
      </c>
      <c r="J128">
        <f t="shared" si="23"/>
        <v>0.43181818181818188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f t="shared" si="24"/>
        <v>3.9983164983164983</v>
      </c>
      <c r="U128">
        <f t="shared" si="25"/>
        <v>3.9983164983164983</v>
      </c>
    </row>
    <row r="129" spans="1:21" x14ac:dyDescent="0.55000000000000004">
      <c r="A129">
        <v>332</v>
      </c>
      <c r="B129">
        <v>25</v>
      </c>
      <c r="C129">
        <v>145.83333333333334</v>
      </c>
      <c r="D129">
        <v>104.16666666666667</v>
      </c>
      <c r="E129">
        <v>145.83333333333334</v>
      </c>
      <c r="F129">
        <f t="shared" si="19"/>
        <v>395.83333333333337</v>
      </c>
      <c r="G129">
        <f t="shared" si="20"/>
        <v>0.17500000000000002</v>
      </c>
      <c r="H129">
        <f t="shared" si="21"/>
        <v>0.125</v>
      </c>
      <c r="I129">
        <f t="shared" si="22"/>
        <v>0.17500000000000002</v>
      </c>
      <c r="J129">
        <f t="shared" si="23"/>
        <v>0.47500000000000009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24"/>
        <v>4.3981481481481488</v>
      </c>
      <c r="U129">
        <f t="shared" si="25"/>
        <v>4.3981481481481488</v>
      </c>
    </row>
    <row r="130" spans="1:21" x14ac:dyDescent="0.55000000000000004">
      <c r="A130">
        <v>332</v>
      </c>
      <c r="B130">
        <v>22.5</v>
      </c>
      <c r="C130">
        <v>145.83333333333334</v>
      </c>
      <c r="D130">
        <v>104.16666666666667</v>
      </c>
      <c r="E130">
        <v>145.83333333333334</v>
      </c>
      <c r="F130">
        <f t="shared" si="19"/>
        <v>395.83333333333337</v>
      </c>
      <c r="G130">
        <f t="shared" ref="G130:G157" si="26">C130/(120*$B130*1000/3600)</f>
        <v>0.19444444444444445</v>
      </c>
      <c r="H130">
        <f t="shared" ref="H130:H157" si="27">D130/(120*$B130*1000/3600)</f>
        <v>0.1388888888888889</v>
      </c>
      <c r="I130">
        <f t="shared" ref="I130:I157" si="28">E130/(120*$B130*1000/3600)</f>
        <v>0.19444444444444445</v>
      </c>
      <c r="J130">
        <f t="shared" ref="J130:J157" si="29">SUM(G130:I130)</f>
        <v>0.52777777777777779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 t="shared" ref="T130:T157" si="30">F130/B130*1000/3600</f>
        <v>4.8868312757201648</v>
      </c>
      <c r="U130">
        <f t="shared" ref="U130:U157" si="31">S130+T130</f>
        <v>4.8868312757201648</v>
      </c>
    </row>
    <row r="131" spans="1:21" x14ac:dyDescent="0.55000000000000004">
      <c r="A131">
        <v>332</v>
      </c>
      <c r="B131">
        <v>20</v>
      </c>
      <c r="C131">
        <v>145.83333333333334</v>
      </c>
      <c r="D131">
        <v>104.16666666666667</v>
      </c>
      <c r="E131">
        <v>145.83333333333334</v>
      </c>
      <c r="F131">
        <f t="shared" ref="F131:F157" si="32">SUM(C131:E131)</f>
        <v>395.83333333333337</v>
      </c>
      <c r="G131">
        <f t="shared" si="26"/>
        <v>0.21875000000000003</v>
      </c>
      <c r="H131">
        <f t="shared" si="27"/>
        <v>0.15625000000000003</v>
      </c>
      <c r="I131">
        <f t="shared" si="28"/>
        <v>0.21875000000000003</v>
      </c>
      <c r="J131">
        <f t="shared" si="29"/>
        <v>0.59375000000000011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si="30"/>
        <v>5.4976851851851851</v>
      </c>
      <c r="U131">
        <f t="shared" si="31"/>
        <v>5.4976851851851851</v>
      </c>
    </row>
    <row r="132" spans="1:21" x14ac:dyDescent="0.55000000000000004">
      <c r="A132">
        <v>333</v>
      </c>
      <c r="B132">
        <v>50</v>
      </c>
      <c r="C132">
        <v>187.5</v>
      </c>
      <c r="D132">
        <v>104.16666666666667</v>
      </c>
      <c r="E132">
        <v>187.5</v>
      </c>
      <c r="F132">
        <f t="shared" si="32"/>
        <v>479.16666666666669</v>
      </c>
      <c r="G132">
        <f t="shared" si="26"/>
        <v>0.11249999999999999</v>
      </c>
      <c r="H132">
        <f t="shared" si="27"/>
        <v>6.25E-2</v>
      </c>
      <c r="I132">
        <f t="shared" si="28"/>
        <v>0.11249999999999999</v>
      </c>
      <c r="J132">
        <f t="shared" si="29"/>
        <v>0.28749999999999998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30"/>
        <v>2.6620370370370372</v>
      </c>
      <c r="U132">
        <f t="shared" si="31"/>
        <v>2.6620370370370372</v>
      </c>
    </row>
    <row r="133" spans="1:21" x14ac:dyDescent="0.55000000000000004">
      <c r="A133">
        <v>333</v>
      </c>
      <c r="B133">
        <v>47.5</v>
      </c>
      <c r="C133">
        <v>187.5</v>
      </c>
      <c r="D133">
        <v>104.16666666666667</v>
      </c>
      <c r="E133">
        <v>187.5</v>
      </c>
      <c r="F133">
        <f t="shared" si="32"/>
        <v>479.16666666666669</v>
      </c>
      <c r="G133">
        <f t="shared" si="26"/>
        <v>0.11842105263157895</v>
      </c>
      <c r="H133">
        <f t="shared" si="27"/>
        <v>6.5789473684210537E-2</v>
      </c>
      <c r="I133">
        <f t="shared" si="28"/>
        <v>0.11842105263157895</v>
      </c>
      <c r="J133">
        <f t="shared" si="29"/>
        <v>0.30263157894736847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si="30"/>
        <v>2.8021442495126707</v>
      </c>
      <c r="U133">
        <f t="shared" si="31"/>
        <v>2.8021442495126707</v>
      </c>
    </row>
    <row r="134" spans="1:21" x14ac:dyDescent="0.55000000000000004">
      <c r="A134">
        <v>333</v>
      </c>
      <c r="B134">
        <v>45</v>
      </c>
      <c r="C134">
        <v>187.5</v>
      </c>
      <c r="D134">
        <v>104.16666666666667</v>
      </c>
      <c r="E134">
        <v>187.5</v>
      </c>
      <c r="F134">
        <f t="shared" si="32"/>
        <v>479.16666666666669</v>
      </c>
      <c r="G134">
        <f t="shared" si="26"/>
        <v>0.125</v>
      </c>
      <c r="H134">
        <f t="shared" si="27"/>
        <v>6.9444444444444448E-2</v>
      </c>
      <c r="I134">
        <f t="shared" si="28"/>
        <v>0.125</v>
      </c>
      <c r="J134">
        <f t="shared" si="29"/>
        <v>0.31944444444444442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30"/>
        <v>2.9578189300411526</v>
      </c>
      <c r="U134">
        <f t="shared" si="31"/>
        <v>2.9578189300411526</v>
      </c>
    </row>
    <row r="135" spans="1:21" x14ac:dyDescent="0.55000000000000004">
      <c r="A135">
        <v>333</v>
      </c>
      <c r="B135">
        <v>42.5</v>
      </c>
      <c r="C135">
        <v>187.5</v>
      </c>
      <c r="D135">
        <v>104.16666666666667</v>
      </c>
      <c r="E135">
        <v>187.5</v>
      </c>
      <c r="F135">
        <f t="shared" si="32"/>
        <v>479.16666666666669</v>
      </c>
      <c r="G135">
        <f t="shared" si="26"/>
        <v>0.13235294117647059</v>
      </c>
      <c r="H135">
        <f t="shared" si="27"/>
        <v>7.3529411764705885E-2</v>
      </c>
      <c r="I135">
        <f t="shared" si="28"/>
        <v>0.13235294117647059</v>
      </c>
      <c r="J135">
        <f t="shared" si="29"/>
        <v>0.33823529411764708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30"/>
        <v>3.1318082788671027</v>
      </c>
      <c r="U135">
        <f t="shared" si="31"/>
        <v>3.1318082788671027</v>
      </c>
    </row>
    <row r="136" spans="1:21" x14ac:dyDescent="0.55000000000000004">
      <c r="A136">
        <v>333</v>
      </c>
      <c r="B136">
        <v>40</v>
      </c>
      <c r="C136">
        <v>187.5</v>
      </c>
      <c r="D136">
        <v>104.16666666666667</v>
      </c>
      <c r="E136">
        <v>187.5</v>
      </c>
      <c r="F136">
        <f t="shared" si="32"/>
        <v>479.16666666666669</v>
      </c>
      <c r="G136">
        <f t="shared" si="26"/>
        <v>0.140625</v>
      </c>
      <c r="H136">
        <f t="shared" si="27"/>
        <v>7.8125000000000014E-2</v>
      </c>
      <c r="I136">
        <f t="shared" si="28"/>
        <v>0.140625</v>
      </c>
      <c r="J136">
        <f t="shared" si="29"/>
        <v>0.359375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30"/>
        <v>3.3275462962962967</v>
      </c>
      <c r="U136">
        <f t="shared" si="31"/>
        <v>3.3275462962962967</v>
      </c>
    </row>
    <row r="137" spans="1:21" x14ac:dyDescent="0.55000000000000004">
      <c r="A137">
        <v>333</v>
      </c>
      <c r="B137">
        <v>37.5</v>
      </c>
      <c r="C137">
        <v>187.5</v>
      </c>
      <c r="D137">
        <v>104.16666666666667</v>
      </c>
      <c r="E137">
        <v>187.5</v>
      </c>
      <c r="F137">
        <f t="shared" si="32"/>
        <v>479.16666666666669</v>
      </c>
      <c r="G137">
        <f t="shared" si="26"/>
        <v>0.15</v>
      </c>
      <c r="H137">
        <f t="shared" si="27"/>
        <v>8.3333333333333343E-2</v>
      </c>
      <c r="I137">
        <f t="shared" si="28"/>
        <v>0.15</v>
      </c>
      <c r="J137">
        <f t="shared" si="29"/>
        <v>0.3833333333333333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30"/>
        <v>3.5493827160493829</v>
      </c>
      <c r="U137">
        <f t="shared" si="31"/>
        <v>3.5493827160493829</v>
      </c>
    </row>
    <row r="138" spans="1:21" x14ac:dyDescent="0.55000000000000004">
      <c r="A138">
        <v>333</v>
      </c>
      <c r="B138">
        <v>35</v>
      </c>
      <c r="C138">
        <v>187.5</v>
      </c>
      <c r="D138">
        <v>104.16666666666667</v>
      </c>
      <c r="E138">
        <v>187.5</v>
      </c>
      <c r="F138">
        <f t="shared" si="32"/>
        <v>479.16666666666669</v>
      </c>
      <c r="G138">
        <f t="shared" si="26"/>
        <v>0.1607142857142857</v>
      </c>
      <c r="H138">
        <f t="shared" si="27"/>
        <v>8.9285714285714288E-2</v>
      </c>
      <c r="I138">
        <f t="shared" si="28"/>
        <v>0.1607142857142857</v>
      </c>
      <c r="J138">
        <f t="shared" si="29"/>
        <v>0.4107142857142857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f t="shared" si="30"/>
        <v>3.802910052910053</v>
      </c>
      <c r="U138">
        <f t="shared" si="31"/>
        <v>3.802910052910053</v>
      </c>
    </row>
    <row r="139" spans="1:21" x14ac:dyDescent="0.55000000000000004">
      <c r="A139">
        <v>333</v>
      </c>
      <c r="B139">
        <v>32.5</v>
      </c>
      <c r="C139">
        <v>187.5</v>
      </c>
      <c r="D139">
        <v>104.16666666666667</v>
      </c>
      <c r="E139">
        <v>187.5</v>
      </c>
      <c r="F139">
        <f t="shared" si="32"/>
        <v>479.16666666666669</v>
      </c>
      <c r="G139">
        <f t="shared" si="26"/>
        <v>0.1730769230769231</v>
      </c>
      <c r="H139">
        <f t="shared" si="27"/>
        <v>9.6153846153846159E-2</v>
      </c>
      <c r="I139">
        <f t="shared" si="28"/>
        <v>0.1730769230769231</v>
      </c>
      <c r="J139">
        <f t="shared" si="29"/>
        <v>0.4423076923076924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f t="shared" si="30"/>
        <v>4.0954415954415957</v>
      </c>
      <c r="U139">
        <f t="shared" si="31"/>
        <v>4.0954415954415957</v>
      </c>
    </row>
    <row r="140" spans="1:21" x14ac:dyDescent="0.55000000000000004">
      <c r="A140">
        <v>333</v>
      </c>
      <c r="B140">
        <v>30</v>
      </c>
      <c r="C140">
        <v>187.5</v>
      </c>
      <c r="D140">
        <v>104.16666666666667</v>
      </c>
      <c r="E140">
        <v>187.5</v>
      </c>
      <c r="F140">
        <f t="shared" si="32"/>
        <v>479.16666666666669</v>
      </c>
      <c r="G140">
        <f t="shared" si="26"/>
        <v>0.1875</v>
      </c>
      <c r="H140">
        <f t="shared" si="27"/>
        <v>0.10416666666666667</v>
      </c>
      <c r="I140">
        <f t="shared" si="28"/>
        <v>0.1875</v>
      </c>
      <c r="J140">
        <f t="shared" si="29"/>
        <v>0.47916666666666669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f t="shared" si="30"/>
        <v>4.4367283950617287</v>
      </c>
      <c r="U140">
        <f t="shared" si="31"/>
        <v>4.4367283950617287</v>
      </c>
    </row>
    <row r="141" spans="1:21" x14ac:dyDescent="0.55000000000000004">
      <c r="A141">
        <v>333</v>
      </c>
      <c r="B141">
        <v>27.5</v>
      </c>
      <c r="C141">
        <v>187.5</v>
      </c>
      <c r="D141">
        <v>104.16666666666667</v>
      </c>
      <c r="E141">
        <v>187.5</v>
      </c>
      <c r="F141">
        <f t="shared" si="32"/>
        <v>479.16666666666669</v>
      </c>
      <c r="G141">
        <f t="shared" si="26"/>
        <v>0.20454545454545456</v>
      </c>
      <c r="H141">
        <f t="shared" si="27"/>
        <v>0.11363636363636365</v>
      </c>
      <c r="I141">
        <f t="shared" si="28"/>
        <v>0.20454545454545456</v>
      </c>
      <c r="J141">
        <f t="shared" si="29"/>
        <v>0.52272727272727282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f t="shared" si="30"/>
        <v>4.84006734006734</v>
      </c>
      <c r="U141">
        <f t="shared" si="31"/>
        <v>4.84006734006734</v>
      </c>
    </row>
    <row r="142" spans="1:21" x14ac:dyDescent="0.55000000000000004">
      <c r="A142">
        <v>333</v>
      </c>
      <c r="B142">
        <v>25</v>
      </c>
      <c r="C142">
        <v>187.5</v>
      </c>
      <c r="D142">
        <v>104.16666666666667</v>
      </c>
      <c r="E142">
        <v>187.5</v>
      </c>
      <c r="F142">
        <f t="shared" si="32"/>
        <v>479.16666666666669</v>
      </c>
      <c r="G142">
        <f t="shared" si="26"/>
        <v>0.22499999999999998</v>
      </c>
      <c r="H142">
        <f t="shared" si="27"/>
        <v>0.125</v>
      </c>
      <c r="I142">
        <f t="shared" si="28"/>
        <v>0.22499999999999998</v>
      </c>
      <c r="J142">
        <f t="shared" si="29"/>
        <v>0.57499999999999996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f t="shared" si="30"/>
        <v>5.3240740740740744</v>
      </c>
      <c r="U142">
        <f t="shared" si="31"/>
        <v>5.3240740740740744</v>
      </c>
    </row>
    <row r="143" spans="1:21" x14ac:dyDescent="0.55000000000000004">
      <c r="A143">
        <v>333</v>
      </c>
      <c r="B143">
        <v>22.5</v>
      </c>
      <c r="C143">
        <v>187.5</v>
      </c>
      <c r="D143">
        <v>104.16666666666667</v>
      </c>
      <c r="E143">
        <v>187.5</v>
      </c>
      <c r="F143">
        <f t="shared" si="32"/>
        <v>479.16666666666669</v>
      </c>
      <c r="G143">
        <f t="shared" si="26"/>
        <v>0.25</v>
      </c>
      <c r="H143">
        <f t="shared" si="27"/>
        <v>0.1388888888888889</v>
      </c>
      <c r="I143">
        <f t="shared" si="28"/>
        <v>0.25</v>
      </c>
      <c r="J143">
        <f t="shared" si="29"/>
        <v>0.63888888888888884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f t="shared" si="30"/>
        <v>5.9156378600823052</v>
      </c>
      <c r="U143">
        <f t="shared" si="31"/>
        <v>5.9156378600823052</v>
      </c>
    </row>
    <row r="144" spans="1:21" x14ac:dyDescent="0.55000000000000004">
      <c r="A144">
        <v>333</v>
      </c>
      <c r="B144">
        <v>20</v>
      </c>
      <c r="C144">
        <v>187.5</v>
      </c>
      <c r="D144">
        <v>104.16666666666667</v>
      </c>
      <c r="E144">
        <v>187.5</v>
      </c>
      <c r="F144">
        <f t="shared" si="32"/>
        <v>479.16666666666669</v>
      </c>
      <c r="G144">
        <f t="shared" si="26"/>
        <v>0.28125</v>
      </c>
      <c r="H144">
        <f t="shared" si="27"/>
        <v>0.15625000000000003</v>
      </c>
      <c r="I144">
        <f t="shared" si="28"/>
        <v>0.28125</v>
      </c>
      <c r="J144">
        <f t="shared" si="29"/>
        <v>0.71875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f t="shared" si="30"/>
        <v>6.6550925925925934</v>
      </c>
      <c r="U144">
        <f t="shared" si="31"/>
        <v>6.6550925925925934</v>
      </c>
    </row>
    <row r="145" spans="1:21" x14ac:dyDescent="0.55000000000000004">
      <c r="A145">
        <v>334</v>
      </c>
      <c r="B145">
        <v>50</v>
      </c>
      <c r="C145">
        <v>104.16666666666667</v>
      </c>
      <c r="D145">
        <v>104.16666666666667</v>
      </c>
      <c r="E145">
        <v>187.5</v>
      </c>
      <c r="F145">
        <f t="shared" si="32"/>
        <v>395.83333333333337</v>
      </c>
      <c r="G145">
        <f t="shared" si="26"/>
        <v>6.25E-2</v>
      </c>
      <c r="H145">
        <f t="shared" si="27"/>
        <v>6.25E-2</v>
      </c>
      <c r="I145">
        <f t="shared" si="28"/>
        <v>0.11249999999999999</v>
      </c>
      <c r="J145">
        <f t="shared" si="29"/>
        <v>0.23749999999999999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f t="shared" si="30"/>
        <v>2.1990740740740744</v>
      </c>
      <c r="U145">
        <f t="shared" si="31"/>
        <v>2.1990740740740744</v>
      </c>
    </row>
    <row r="146" spans="1:21" x14ac:dyDescent="0.55000000000000004">
      <c r="A146">
        <v>334</v>
      </c>
      <c r="B146">
        <v>47.5</v>
      </c>
      <c r="C146">
        <v>104.16666666666667</v>
      </c>
      <c r="D146">
        <v>104.16666666666667</v>
      </c>
      <c r="E146">
        <v>187.5</v>
      </c>
      <c r="F146">
        <f t="shared" si="32"/>
        <v>395.83333333333337</v>
      </c>
      <c r="G146">
        <f t="shared" si="26"/>
        <v>6.5789473684210537E-2</v>
      </c>
      <c r="H146">
        <f t="shared" si="27"/>
        <v>6.5789473684210537E-2</v>
      </c>
      <c r="I146">
        <f t="shared" si="28"/>
        <v>0.11842105263157895</v>
      </c>
      <c r="J146">
        <f t="shared" si="29"/>
        <v>0.25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30"/>
        <v>2.3148148148148149</v>
      </c>
      <c r="U146">
        <f t="shared" si="31"/>
        <v>2.3148148148148149</v>
      </c>
    </row>
    <row r="147" spans="1:21" x14ac:dyDescent="0.55000000000000004">
      <c r="A147">
        <v>334</v>
      </c>
      <c r="B147">
        <v>45</v>
      </c>
      <c r="C147">
        <v>104.16666666666667</v>
      </c>
      <c r="D147">
        <v>104.16666666666667</v>
      </c>
      <c r="E147">
        <v>187.5</v>
      </c>
      <c r="F147">
        <f t="shared" si="32"/>
        <v>395.83333333333337</v>
      </c>
      <c r="G147">
        <f t="shared" si="26"/>
        <v>6.9444444444444448E-2</v>
      </c>
      <c r="H147">
        <f t="shared" si="27"/>
        <v>6.9444444444444448E-2</v>
      </c>
      <c r="I147">
        <f t="shared" si="28"/>
        <v>0.125</v>
      </c>
      <c r="J147">
        <f t="shared" si="29"/>
        <v>0.2638888888888889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f t="shared" si="30"/>
        <v>2.4434156378600824</v>
      </c>
      <c r="U147">
        <f t="shared" si="31"/>
        <v>2.4434156378600824</v>
      </c>
    </row>
    <row r="148" spans="1:21" x14ac:dyDescent="0.55000000000000004">
      <c r="A148">
        <v>334</v>
      </c>
      <c r="B148">
        <v>42.5</v>
      </c>
      <c r="C148">
        <v>104.16666666666667</v>
      </c>
      <c r="D148">
        <v>104.16666666666667</v>
      </c>
      <c r="E148">
        <v>187.5</v>
      </c>
      <c r="F148">
        <f t="shared" si="32"/>
        <v>395.83333333333337</v>
      </c>
      <c r="G148">
        <f t="shared" si="26"/>
        <v>7.3529411764705885E-2</v>
      </c>
      <c r="H148">
        <f t="shared" si="27"/>
        <v>7.3529411764705885E-2</v>
      </c>
      <c r="I148">
        <f t="shared" si="28"/>
        <v>0.13235294117647059</v>
      </c>
      <c r="J148">
        <f t="shared" si="29"/>
        <v>0.27941176470588236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f t="shared" si="30"/>
        <v>2.587145969498911</v>
      </c>
      <c r="U148">
        <f t="shared" si="31"/>
        <v>2.587145969498911</v>
      </c>
    </row>
    <row r="149" spans="1:21" x14ac:dyDescent="0.55000000000000004">
      <c r="A149">
        <v>334</v>
      </c>
      <c r="B149">
        <v>40</v>
      </c>
      <c r="C149">
        <v>104.16666666666667</v>
      </c>
      <c r="D149">
        <v>104.16666666666667</v>
      </c>
      <c r="E149">
        <v>187.5</v>
      </c>
      <c r="F149">
        <f t="shared" si="32"/>
        <v>395.83333333333337</v>
      </c>
      <c r="G149">
        <f t="shared" si="26"/>
        <v>7.8125000000000014E-2</v>
      </c>
      <c r="H149">
        <f t="shared" si="27"/>
        <v>7.8125000000000014E-2</v>
      </c>
      <c r="I149">
        <f t="shared" si="28"/>
        <v>0.140625</v>
      </c>
      <c r="J149">
        <f t="shared" si="29"/>
        <v>0.296875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f t="shared" si="30"/>
        <v>2.7488425925925926</v>
      </c>
      <c r="U149">
        <f t="shared" si="31"/>
        <v>2.7488425925925926</v>
      </c>
    </row>
    <row r="150" spans="1:21" x14ac:dyDescent="0.55000000000000004">
      <c r="A150">
        <v>334</v>
      </c>
      <c r="B150">
        <v>37.5</v>
      </c>
      <c r="C150">
        <v>104.16666666666667</v>
      </c>
      <c r="D150">
        <v>104.16666666666667</v>
      </c>
      <c r="E150">
        <v>187.5</v>
      </c>
      <c r="F150">
        <f t="shared" si="32"/>
        <v>395.83333333333337</v>
      </c>
      <c r="G150">
        <f t="shared" si="26"/>
        <v>8.3333333333333343E-2</v>
      </c>
      <c r="H150">
        <f t="shared" si="27"/>
        <v>8.3333333333333343E-2</v>
      </c>
      <c r="I150">
        <f t="shared" si="28"/>
        <v>0.15</v>
      </c>
      <c r="J150">
        <f t="shared" si="29"/>
        <v>0.31666666666666665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f t="shared" si="30"/>
        <v>2.9320987654320989</v>
      </c>
      <c r="U150">
        <f t="shared" si="31"/>
        <v>2.9320987654320989</v>
      </c>
    </row>
    <row r="151" spans="1:21" x14ac:dyDescent="0.55000000000000004">
      <c r="A151">
        <v>334</v>
      </c>
      <c r="B151">
        <v>35</v>
      </c>
      <c r="C151">
        <v>104.16666666666667</v>
      </c>
      <c r="D151">
        <v>104.16666666666667</v>
      </c>
      <c r="E151">
        <v>187.5</v>
      </c>
      <c r="F151">
        <f t="shared" si="32"/>
        <v>395.83333333333337</v>
      </c>
      <c r="G151">
        <f t="shared" si="26"/>
        <v>8.9285714285714288E-2</v>
      </c>
      <c r="H151">
        <f t="shared" si="27"/>
        <v>8.9285714285714288E-2</v>
      </c>
      <c r="I151">
        <f t="shared" si="28"/>
        <v>0.1607142857142857</v>
      </c>
      <c r="J151">
        <f t="shared" si="29"/>
        <v>0.3392857142857143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30"/>
        <v>3.1415343915343921</v>
      </c>
      <c r="U151">
        <f t="shared" si="31"/>
        <v>3.1415343915343921</v>
      </c>
    </row>
    <row r="152" spans="1:21" x14ac:dyDescent="0.55000000000000004">
      <c r="A152">
        <v>334</v>
      </c>
      <c r="B152">
        <v>32.5</v>
      </c>
      <c r="C152">
        <v>104.16666666666667</v>
      </c>
      <c r="D152">
        <v>104.16666666666667</v>
      </c>
      <c r="E152">
        <v>187.5</v>
      </c>
      <c r="F152">
        <f t="shared" si="32"/>
        <v>395.83333333333337</v>
      </c>
      <c r="G152">
        <f t="shared" si="26"/>
        <v>9.6153846153846159E-2</v>
      </c>
      <c r="H152">
        <f t="shared" si="27"/>
        <v>9.6153846153846159E-2</v>
      </c>
      <c r="I152">
        <f t="shared" si="28"/>
        <v>0.1730769230769231</v>
      </c>
      <c r="J152">
        <f t="shared" si="29"/>
        <v>0.36538461538461542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30"/>
        <v>3.3831908831908839</v>
      </c>
      <c r="U152">
        <f t="shared" si="31"/>
        <v>3.3831908831908839</v>
      </c>
    </row>
    <row r="153" spans="1:21" x14ac:dyDescent="0.55000000000000004">
      <c r="A153">
        <v>334</v>
      </c>
      <c r="B153">
        <v>30</v>
      </c>
      <c r="C153">
        <v>104.16666666666667</v>
      </c>
      <c r="D153">
        <v>104.16666666666667</v>
      </c>
      <c r="E153">
        <v>187.5</v>
      </c>
      <c r="F153">
        <f t="shared" si="32"/>
        <v>395.83333333333337</v>
      </c>
      <c r="G153">
        <f t="shared" si="26"/>
        <v>0.10416666666666667</v>
      </c>
      <c r="H153">
        <f t="shared" si="27"/>
        <v>0.10416666666666667</v>
      </c>
      <c r="I153">
        <f t="shared" si="28"/>
        <v>0.1875</v>
      </c>
      <c r="J153">
        <f t="shared" si="29"/>
        <v>0.39583333333333337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f t="shared" si="30"/>
        <v>3.6651234567901243</v>
      </c>
      <c r="U153">
        <f t="shared" si="31"/>
        <v>3.6651234567901243</v>
      </c>
    </row>
    <row r="154" spans="1:21" x14ac:dyDescent="0.55000000000000004">
      <c r="A154">
        <v>334</v>
      </c>
      <c r="B154">
        <v>27.5</v>
      </c>
      <c r="C154">
        <v>104.16666666666667</v>
      </c>
      <c r="D154">
        <v>104.16666666666667</v>
      </c>
      <c r="E154">
        <v>187.5</v>
      </c>
      <c r="F154">
        <f t="shared" si="32"/>
        <v>395.83333333333337</v>
      </c>
      <c r="G154">
        <f t="shared" si="26"/>
        <v>0.11363636363636365</v>
      </c>
      <c r="H154">
        <f t="shared" si="27"/>
        <v>0.11363636363636365</v>
      </c>
      <c r="I154">
        <f t="shared" si="28"/>
        <v>0.20454545454545456</v>
      </c>
      <c r="J154">
        <f t="shared" si="29"/>
        <v>0.43181818181818188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f t="shared" si="30"/>
        <v>3.9983164983164983</v>
      </c>
      <c r="U154">
        <f t="shared" si="31"/>
        <v>3.9983164983164983</v>
      </c>
    </row>
    <row r="155" spans="1:21" x14ac:dyDescent="0.55000000000000004">
      <c r="A155">
        <v>334</v>
      </c>
      <c r="B155">
        <v>25</v>
      </c>
      <c r="C155">
        <v>104.16666666666667</v>
      </c>
      <c r="D155">
        <v>104.16666666666667</v>
      </c>
      <c r="E155">
        <v>187.5</v>
      </c>
      <c r="F155">
        <f t="shared" si="32"/>
        <v>395.83333333333337</v>
      </c>
      <c r="G155">
        <f t="shared" si="26"/>
        <v>0.125</v>
      </c>
      <c r="H155">
        <f t="shared" si="27"/>
        <v>0.125</v>
      </c>
      <c r="I155">
        <f t="shared" si="28"/>
        <v>0.22499999999999998</v>
      </c>
      <c r="J155">
        <f t="shared" si="29"/>
        <v>0.47499999999999998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f t="shared" si="30"/>
        <v>4.3981481481481488</v>
      </c>
      <c r="U155">
        <f t="shared" si="31"/>
        <v>4.3981481481481488</v>
      </c>
    </row>
    <row r="156" spans="1:21" x14ac:dyDescent="0.55000000000000004">
      <c r="A156">
        <v>334</v>
      </c>
      <c r="B156">
        <v>22.5</v>
      </c>
      <c r="C156">
        <v>104.16666666666667</v>
      </c>
      <c r="D156">
        <v>104.16666666666667</v>
      </c>
      <c r="E156">
        <v>187.5</v>
      </c>
      <c r="F156">
        <f t="shared" si="32"/>
        <v>395.83333333333337</v>
      </c>
      <c r="G156">
        <f t="shared" si="26"/>
        <v>0.1388888888888889</v>
      </c>
      <c r="H156">
        <f t="shared" si="27"/>
        <v>0.1388888888888889</v>
      </c>
      <c r="I156">
        <f t="shared" si="28"/>
        <v>0.25</v>
      </c>
      <c r="J156">
        <f t="shared" si="29"/>
        <v>0.52777777777777779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f t="shared" si="30"/>
        <v>4.8868312757201648</v>
      </c>
      <c r="U156">
        <f t="shared" si="31"/>
        <v>4.8868312757201648</v>
      </c>
    </row>
    <row r="157" spans="1:21" x14ac:dyDescent="0.55000000000000004">
      <c r="A157">
        <v>334</v>
      </c>
      <c r="B157">
        <v>20</v>
      </c>
      <c r="C157">
        <v>104.16666666666667</v>
      </c>
      <c r="D157">
        <v>104.16666666666667</v>
      </c>
      <c r="E157">
        <v>187.5</v>
      </c>
      <c r="F157">
        <f t="shared" si="32"/>
        <v>395.83333333333337</v>
      </c>
      <c r="G157">
        <f t="shared" si="26"/>
        <v>0.15625000000000003</v>
      </c>
      <c r="H157">
        <f t="shared" si="27"/>
        <v>0.15625000000000003</v>
      </c>
      <c r="I157">
        <f t="shared" si="28"/>
        <v>0.28125</v>
      </c>
      <c r="J157">
        <f t="shared" si="29"/>
        <v>0.59375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f t="shared" si="30"/>
        <v>5.4976851851851851</v>
      </c>
      <c r="U157">
        <f t="shared" si="31"/>
        <v>5.4976851851851851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響生 畠中</dc:creator>
  <cp:lastModifiedBy>響生 畠中</cp:lastModifiedBy>
  <dcterms:created xsi:type="dcterms:W3CDTF">2026-02-03T15:46:52Z</dcterms:created>
  <dcterms:modified xsi:type="dcterms:W3CDTF">2026-02-05T15:48:02Z</dcterms:modified>
</cp:coreProperties>
</file>